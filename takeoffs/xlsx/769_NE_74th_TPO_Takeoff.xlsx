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O 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$&quot;#,##0.00"/>
  </numFmts>
  <fonts count="7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sz val="9"/>
    </font>
    <font>
      <b val="1"/>
    </font>
    <font>
      <b val="1"/>
      <color rgb="00FFFFFF"/>
    </font>
    <font>
      <sz val="9"/>
    </font>
    <font>
      <b val="1"/>
      <color rgb="001F2A44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59D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9" fontId="0" fillId="3" borderId="1" pivotButton="0" quotePrefix="0" xfId="0"/>
    <xf numFmtId="0" fontId="4" fillId="2" borderId="1" applyAlignment="1" pivotButton="0" quotePrefix="0" xfId="0">
      <alignment wrapText="1"/>
    </xf>
    <xf numFmtId="164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165" fontId="0" fillId="4" borderId="1" pivotButton="0" quotePrefix="0" xfId="0"/>
    <xf numFmtId="0" fontId="6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1" customWidth="1" min="3" max="3"/>
    <col width="8" customWidth="1" min="4" max="4"/>
    <col width="11" customWidth="1" min="5" max="5"/>
    <col width="8" customWidth="1" min="6" max="6"/>
    <col width="11" customWidth="1" min="7" max="7"/>
    <col width="13" customWidth="1" min="8" max="8"/>
    <col width="34" customWidth="1" min="9" max="9"/>
  </cols>
  <sheetData>
    <row r="1">
      <c r="A1" s="1" t="inlineStr">
        <is>
          <t>769 NE 74th — TPO Material Takeoff (GAF EverGuard .060)</t>
        </is>
      </c>
    </row>
    <row r="2">
      <c r="A2" s="2" t="inlineStr">
        <is>
          <t>M. Romero's Roofing &amp; Inspections, Inc. · Prices: Gulfeagle invoices 2/4, 2/5, 3/30/2026 (price book) · Fill YELLOW cells; everything else calculates.</t>
        </is>
      </c>
    </row>
    <row r="4">
      <c r="A4" s="3" t="inlineStr">
        <is>
          <t>JOB INPUTS</t>
        </is>
      </c>
    </row>
    <row r="5">
      <c r="A5" s="4" t="inlineStr">
        <is>
          <t>Input</t>
        </is>
      </c>
      <c r="B5" s="4" t="inlineStr">
        <is>
          <t>Unit</t>
        </is>
      </c>
      <c r="C5" s="4" t="inlineStr">
        <is>
          <t>Value</t>
        </is>
      </c>
      <c r="D5" s="4" t="inlineStr">
        <is>
          <t>Note</t>
        </is>
      </c>
    </row>
    <row r="6">
      <c r="A6" s="5" t="inlineStr">
        <is>
          <t>Roof field area</t>
        </is>
      </c>
      <c r="B6" s="5" t="inlineStr">
        <is>
          <t>SF</t>
        </is>
      </c>
      <c r="C6" s="6" t="n"/>
      <c r="D6" s="7" t="inlineStr">
        <is>
          <t>From roof report / plans (inside parapets)</t>
        </is>
      </c>
    </row>
    <row r="7">
      <c r="A7" s="5" t="inlineStr">
        <is>
          <t>Parapet / wall flashing</t>
        </is>
      </c>
      <c r="B7" s="5" t="inlineStr">
        <is>
          <t>LF</t>
        </is>
      </c>
      <c r="C7" s="6" t="n"/>
      <c r="D7" s="7" t="inlineStr">
        <is>
          <t>Base flashing at parapets &amp; walls</t>
        </is>
      </c>
    </row>
    <row r="8">
      <c r="A8" s="5" t="inlineStr">
        <is>
          <t>Wall termination (term bar)</t>
        </is>
      </c>
      <c r="B8" s="5" t="inlineStr">
        <is>
          <t>LF</t>
        </is>
      </c>
      <c r="C8" s="6" t="n"/>
      <c r="D8" s="7" t="inlineStr">
        <is>
          <t>Usually = wall flashing LF</t>
        </is>
      </c>
    </row>
    <row r="9">
      <c r="A9" s="5" t="inlineStr">
        <is>
          <t>Counterflashing / stucco stop</t>
        </is>
      </c>
      <c r="B9" s="5" t="inlineStr">
        <is>
          <t>LF</t>
        </is>
      </c>
      <c r="C9" s="6" t="n"/>
      <c r="D9" s="7" t="inlineStr">
        <is>
          <t>0 if not required</t>
        </is>
      </c>
    </row>
    <row r="10">
      <c r="A10" s="5" t="inlineStr">
        <is>
          <t>Perimeter edge metal (drip edge)</t>
        </is>
      </c>
      <c r="B10" s="5" t="inlineStr">
        <is>
          <t>LF</t>
        </is>
      </c>
      <c r="C10" s="6" t="n"/>
      <c r="D10" s="7" t="inlineStr">
        <is>
          <t>Open roof edges only</t>
        </is>
      </c>
    </row>
    <row r="11">
      <c r="A11" s="5" t="inlineStr">
        <is>
          <t>Drains + scuppers</t>
        </is>
      </c>
      <c r="B11" s="5" t="inlineStr">
        <is>
          <t>EA</t>
        </is>
      </c>
      <c r="C11" s="6" t="n"/>
      <c r="D11" s="7" t="inlineStr"/>
    </row>
    <row r="12">
      <c r="A12" s="5" t="inlineStr">
        <is>
          <t>Pipe penetrations</t>
        </is>
      </c>
      <c r="B12" s="5" t="inlineStr">
        <is>
          <t>EA</t>
        </is>
      </c>
      <c r="C12" s="6" t="n"/>
      <c r="D12" s="7" t="inlineStr">
        <is>
          <t>Each gets a split pipe boot</t>
        </is>
      </c>
    </row>
    <row r="13">
      <c r="A13" s="5" t="inlineStr">
        <is>
          <t>Seam cover tape</t>
        </is>
      </c>
      <c r="B13" s="5" t="inlineStr">
        <is>
          <t>LF</t>
        </is>
      </c>
      <c r="C13" s="6" t="n">
        <v>0</v>
      </c>
      <c r="D13" s="7" t="inlineStr">
        <is>
          <t>Manual — 0 if not used</t>
        </is>
      </c>
    </row>
    <row r="14">
      <c r="A14" s="5" t="inlineStr">
        <is>
          <t>T-joint patches</t>
        </is>
      </c>
      <c r="B14" s="5" t="inlineStr">
        <is>
          <t>EA</t>
        </is>
      </c>
      <c r="C14" s="6" t="n"/>
      <c r="D14" s="7" t="inlineStr">
        <is>
          <t>Count from layout (approx. 1 per 100 SF if unknown)</t>
        </is>
      </c>
    </row>
    <row r="15">
      <c r="A15" s="5" t="inlineStr">
        <is>
          <t>Attachment</t>
        </is>
      </c>
      <c r="B15" s="5" t="inlineStr">
        <is>
          <t>—</t>
        </is>
      </c>
      <c r="C15" s="6" t="inlineStr">
        <is>
          <t>Adhered</t>
        </is>
      </c>
      <c r="D15" s="7" t="inlineStr">
        <is>
          <t>Adhered = bonding adhesive · Mechanical = fasteners + plates</t>
        </is>
      </c>
    </row>
    <row r="16">
      <c r="A16" s="5" t="inlineStr">
        <is>
          <t>Fasteners per SQ (mechanical only)</t>
        </is>
      </c>
      <c r="B16" s="5" t="inlineStr">
        <is>
          <t>EA/SQ</t>
        </is>
      </c>
      <c r="C16" s="6" t="n">
        <v>0</v>
      </c>
      <c r="D16" s="7" t="inlineStr">
        <is>
          <t>Per NOA / wind zone pattern</t>
        </is>
      </c>
    </row>
    <row r="17">
      <c r="A17" s="5" t="inlineStr">
        <is>
          <t>Tapered ISO — supplier quote</t>
        </is>
      </c>
      <c r="B17" s="5" t="inlineStr">
        <is>
          <t>$</t>
        </is>
      </c>
      <c r="C17" s="6" t="n">
        <v>0</v>
      </c>
      <c r="D17" s="7" t="inlineStr">
        <is>
          <t>Lump sum from Gulfeagle cut list (0 if none)</t>
        </is>
      </c>
    </row>
    <row r="18">
      <c r="A18" s="5" t="inlineStr">
        <is>
          <t>Material tax</t>
        </is>
      </c>
      <c r="B18" s="5" t="inlineStr">
        <is>
          <t>%</t>
        </is>
      </c>
      <c r="C18" s="8" t="n">
        <v>0.07000000000000001</v>
      </c>
      <c r="D18" s="7" t="inlineStr">
        <is>
          <t>Price book Pricing Rules</t>
        </is>
      </c>
    </row>
    <row r="20">
      <c r="A20" s="3" t="inlineStr">
        <is>
          <t>TAKEOFF</t>
        </is>
      </c>
    </row>
    <row r="21">
      <c r="A21" s="9" t="inlineStr">
        <is>
          <t>Item</t>
        </is>
      </c>
      <c r="B21" s="9" t="inlineStr">
        <is>
          <t>Product / SKU</t>
        </is>
      </c>
      <c r="C21" s="9" t="inlineStr">
        <is>
          <t>Net Qty</t>
        </is>
      </c>
      <c r="D21" s="9" t="inlineStr">
        <is>
          <t>Waste</t>
        </is>
      </c>
      <c r="E21" s="9" t="inlineStr">
        <is>
          <t>Order Qty</t>
        </is>
      </c>
      <c r="F21" s="9" t="inlineStr">
        <is>
          <t>Unit</t>
        </is>
      </c>
      <c r="G21" s="9" t="inlineStr">
        <is>
          <t>Unit Cost</t>
        </is>
      </c>
      <c r="H21" s="9" t="inlineStr">
        <is>
          <t>Ext. Cost</t>
        </is>
      </c>
      <c r="I21" s="9" t="inlineStr">
        <is>
          <t>Basis</t>
        </is>
      </c>
    </row>
    <row r="22">
      <c r="A22" s="5" t="inlineStr">
        <is>
          <t>Field membrane</t>
        </is>
      </c>
      <c r="B22" s="5" t="inlineStr">
        <is>
          <t>GAF TPO .060 white 5'x100' #7561920</t>
        </is>
      </c>
      <c r="C22" s="10">
        <f>$C$6</f>
        <v/>
      </c>
      <c r="D22" s="11" t="n">
        <v>0.1</v>
      </c>
      <c r="E22" s="5">
        <f>ROUNDUP(C22*(1+D22)/500,0)</f>
        <v/>
      </c>
      <c r="F22" s="5" t="inlineStr">
        <is>
          <t>Roll</t>
        </is>
      </c>
      <c r="G22" s="12" t="n">
        <v>380</v>
      </c>
      <c r="H22" s="12">
        <f>E22*G22</f>
        <v/>
      </c>
      <c r="I22" s="5" t="inlineStr">
        <is>
          <t>500 SF/roll</t>
        </is>
      </c>
    </row>
    <row r="23">
      <c r="A23" s="13" t="inlineStr">
        <is>
          <t>Bonding adhesive — field</t>
        </is>
      </c>
      <c r="B23" s="13" t="inlineStr">
        <is>
          <t>GAF #1121 solvent bond adh 5 gal #77800OM</t>
        </is>
      </c>
      <c r="C23" s="14">
        <f>IF($C$15="Mechanical",0,$C$6)</f>
        <v/>
      </c>
      <c r="D23" s="15" t="n">
        <v>0.05</v>
      </c>
      <c r="E23" s="13">
        <f>ROUNDUP(C23*(1+D23)/300,0)</f>
        <v/>
      </c>
      <c r="F23" s="13" t="inlineStr">
        <is>
          <t>Pail</t>
        </is>
      </c>
      <c r="G23" s="16" t="n">
        <v>170</v>
      </c>
      <c r="H23" s="16">
        <f>E23*G23</f>
        <v/>
      </c>
      <c r="I23" s="13" t="inlineStr">
        <is>
          <t>300 SF/pail; adhered only</t>
        </is>
      </c>
    </row>
    <row r="24">
      <c r="A24" s="5" t="inlineStr">
        <is>
          <t>Bonding adhesive — flashings</t>
        </is>
      </c>
      <c r="B24" s="5" t="inlineStr">
        <is>
          <t>GAF #1121 5 gal</t>
        </is>
      </c>
      <c r="C24" s="10">
        <f>$C$7*2</f>
        <v/>
      </c>
      <c r="D24" s="11" t="n">
        <v>0.05</v>
      </c>
      <c r="E24" s="5">
        <f>ROUNDUP(C24*(1+D24)/300,0)</f>
        <v/>
      </c>
      <c r="F24" s="5" t="inlineStr">
        <is>
          <t>Pail</t>
        </is>
      </c>
      <c r="G24" s="12" t="n">
        <v>170</v>
      </c>
      <c r="H24" s="12">
        <f>E24*G24</f>
        <v/>
      </c>
      <c r="I24" s="5" t="inlineStr">
        <is>
          <t>Wall LF x 2 ft, both sides bonded</t>
        </is>
      </c>
    </row>
    <row r="25">
      <c r="A25" s="13" t="inlineStr">
        <is>
          <t>Detail / wall flashing</t>
        </is>
      </c>
      <c r="B25" s="13" t="inlineStr">
        <is>
          <t>GAF TPO UN-55 24"x50' #7624920TP</t>
        </is>
      </c>
      <c r="C25" s="14">
        <f>$C$7</f>
        <v/>
      </c>
      <c r="D25" s="15" t="n">
        <v>0.1</v>
      </c>
      <c r="E25" s="13">
        <f>ROUNDUP(C25*(1+D25)/50,0)</f>
        <v/>
      </c>
      <c r="F25" s="13" t="inlineStr">
        <is>
          <t>Roll</t>
        </is>
      </c>
      <c r="G25" s="16" t="n">
        <v>360</v>
      </c>
      <c r="H25" s="16">
        <f>E25*G25</f>
        <v/>
      </c>
      <c r="I25" s="13" t="inlineStr">
        <is>
          <t>50 LF/roll</t>
        </is>
      </c>
    </row>
    <row r="26">
      <c r="A26" s="5" t="inlineStr">
        <is>
          <t>Seam cleaner</t>
        </is>
      </c>
      <c r="B26" s="5" t="inlineStr">
        <is>
          <t>GAF TPO seam cleaner 1 gal [7793]</t>
        </is>
      </c>
      <c r="C26" s="10">
        <f>1</f>
        <v/>
      </c>
      <c r="D26" s="11" t="n">
        <v>0</v>
      </c>
      <c r="E26" s="5">
        <f>C26</f>
        <v/>
      </c>
      <c r="F26" s="5" t="inlineStr">
        <is>
          <t>Can</t>
        </is>
      </c>
      <c r="G26" s="12" t="n">
        <v>36.65</v>
      </c>
      <c r="H26" s="12">
        <f>E26*G26</f>
        <v/>
      </c>
      <c r="I26" s="5" t="inlineStr">
        <is>
          <t>Per job</t>
        </is>
      </c>
    </row>
    <row r="27">
      <c r="A27" s="13" t="inlineStr">
        <is>
          <t>Seam cover tape</t>
        </is>
      </c>
      <c r="B27" s="13" t="inlineStr">
        <is>
          <t>GAF TPO 6"x100' cover tape #755A920</t>
        </is>
      </c>
      <c r="C27" s="14">
        <f>$C$13</f>
        <v/>
      </c>
      <c r="D27" s="15" t="n">
        <v>0.1</v>
      </c>
      <c r="E27" s="13">
        <f>ROUNDUP(C27*(1+D27)/100,0)</f>
        <v/>
      </c>
      <c r="F27" s="13" t="inlineStr">
        <is>
          <t>Roll</t>
        </is>
      </c>
      <c r="G27" s="16" t="n">
        <v>290.02</v>
      </c>
      <c r="H27" s="16">
        <f>E27*G27</f>
        <v/>
      </c>
      <c r="I27" s="13" t="inlineStr">
        <is>
          <t>100 LF/roll</t>
        </is>
      </c>
    </row>
    <row r="28">
      <c r="A28" s="5" t="inlineStr">
        <is>
          <t>T-joint patches</t>
        </is>
      </c>
      <c r="B28" s="5" t="inlineStr">
        <is>
          <t>GAF TPO T-joint patch 4"x4" #7712920</t>
        </is>
      </c>
      <c r="C28" s="10">
        <f>$C$14</f>
        <v/>
      </c>
      <c r="D28" s="11" t="n">
        <v>0</v>
      </c>
      <c r="E28" s="5">
        <f>C28</f>
        <v/>
      </c>
      <c r="F28" s="5" t="inlineStr">
        <is>
          <t>EA</t>
        </is>
      </c>
      <c r="G28" s="12" t="n">
        <v>0.82</v>
      </c>
      <c r="H28" s="12">
        <f>E28*G28</f>
        <v/>
      </c>
      <c r="I28" s="5" t="inlineStr">
        <is>
          <t>From layout</t>
        </is>
      </c>
    </row>
    <row r="29">
      <c r="A29" s="13" t="inlineStr">
        <is>
          <t>Pipe boots</t>
        </is>
      </c>
      <c r="B29" s="13" t="inlineStr">
        <is>
          <t>GAF TPO split pipe boot 1"-2" #85G1920</t>
        </is>
      </c>
      <c r="C29" s="14">
        <f>$C$12</f>
        <v/>
      </c>
      <c r="D29" s="15" t="n">
        <v>0</v>
      </c>
      <c r="E29" s="13">
        <f>C29</f>
        <v/>
      </c>
      <c r="F29" s="13" t="inlineStr">
        <is>
          <t>EA</t>
        </is>
      </c>
      <c r="G29" s="16" t="n">
        <v>38.51</v>
      </c>
      <c r="H29" s="16">
        <f>E29*G29</f>
        <v/>
      </c>
      <c r="I29" s="13" t="inlineStr">
        <is>
          <t>1 per penetration</t>
        </is>
      </c>
    </row>
    <row r="30">
      <c r="A30" s="5" t="inlineStr">
        <is>
          <t>Water Block</t>
        </is>
      </c>
      <c r="B30" s="5" t="inlineStr">
        <is>
          <t>GAF EverGuard Water Block 10.3 oz #8008</t>
        </is>
      </c>
      <c r="C30" s="10">
        <f>$C$8/20+$C$11</f>
        <v/>
      </c>
      <c r="D30" s="11" t="n">
        <v>0.1</v>
      </c>
      <c r="E30" s="5">
        <f>ROUNDUP(C30*(1+D30),0)</f>
        <v/>
      </c>
      <c r="F30" s="5" t="inlineStr">
        <is>
          <t>Tube</t>
        </is>
      </c>
      <c r="G30" s="12" t="n">
        <v>8.5</v>
      </c>
      <c r="H30" s="12">
        <f>E30*G30</f>
        <v/>
      </c>
      <c r="I30" s="5" t="inlineStr">
        <is>
          <t>~20 LF/tube + 1 per drain</t>
        </is>
      </c>
    </row>
    <row r="31">
      <c r="A31" s="13" t="inlineStr">
        <is>
          <t>FlexSeal</t>
        </is>
      </c>
      <c r="B31" s="13" t="inlineStr">
        <is>
          <t>GAF TopCoat FlexSeal #8962920WP</t>
        </is>
      </c>
      <c r="C31" s="14">
        <f>$C$8/12+$C$12/4</f>
        <v/>
      </c>
      <c r="D31" s="15" t="n">
        <v>0.1</v>
      </c>
      <c r="E31" s="13">
        <f>ROUNDUP(C31*(1+D31),0)</f>
        <v/>
      </c>
      <c r="F31" s="13" t="inlineStr">
        <is>
          <t>Tube</t>
        </is>
      </c>
      <c r="G31" s="16" t="n">
        <v>14</v>
      </c>
      <c r="H31" s="16">
        <f>E31*G31</f>
        <v/>
      </c>
      <c r="I31" s="13" t="inlineStr">
        <is>
          <t>~12 LF/tube + 1 per 4 pens</t>
        </is>
      </c>
    </row>
    <row r="32">
      <c r="A32" s="5" t="inlineStr">
        <is>
          <t>Termination bar</t>
        </is>
      </c>
      <c r="B32" s="5" t="inlineStr">
        <is>
          <t>OMG flat alum term bar 10' #FLATB06</t>
        </is>
      </c>
      <c r="C32" s="10">
        <f>$C$8</f>
        <v/>
      </c>
      <c r="D32" s="11" t="n">
        <v>0.1</v>
      </c>
      <c r="E32" s="5">
        <f>ROUNDUP(C32*(1+D32)/10,0)</f>
        <v/>
      </c>
      <c r="F32" s="5" t="inlineStr">
        <is>
          <t>PC</t>
        </is>
      </c>
      <c r="G32" s="12" t="n">
        <v>8</v>
      </c>
      <c r="H32" s="12">
        <f>E32*G32</f>
        <v/>
      </c>
      <c r="I32" s="5" t="inlineStr">
        <is>
          <t>10 LF/pc</t>
        </is>
      </c>
    </row>
    <row r="33">
      <c r="A33" s="13" t="inlineStr">
        <is>
          <t>Masonry anchors (term bar @ 6")</t>
        </is>
      </c>
      <c r="B33" s="13" t="inlineStr">
        <is>
          <t>OMG 1/4"x1-1/4" masonry anchor #MA114X</t>
        </is>
      </c>
      <c r="C33" s="14">
        <f>$C$8*2</f>
        <v/>
      </c>
      <c r="D33" s="15" t="n">
        <v>0.05</v>
      </c>
      <c r="E33" s="13">
        <f>ROUNDUP(C33*(1+D33)/100,0)</f>
        <v/>
      </c>
      <c r="F33" s="13" t="inlineStr">
        <is>
          <t>Box</t>
        </is>
      </c>
      <c r="G33" s="16" t="n">
        <v>9</v>
      </c>
      <c r="H33" s="16">
        <f>E33*G33</f>
        <v/>
      </c>
      <c r="I33" s="13" t="inlineStr">
        <is>
          <t>100/box</t>
        </is>
      </c>
    </row>
    <row r="34">
      <c r="A34" s="5" t="inlineStr">
        <is>
          <t>Counterflashing</t>
        </is>
      </c>
      <c r="B34" s="5" t="inlineStr">
        <is>
          <t>Stucco stop 5" 26 ga galv 10'</t>
        </is>
      </c>
      <c r="C34" s="10">
        <f>$C$9</f>
        <v/>
      </c>
      <c r="D34" s="11" t="n">
        <v>0.1</v>
      </c>
      <c r="E34" s="5">
        <f>ROUNDUP(C34*(1+D34)/10,0)</f>
        <v/>
      </c>
      <c r="F34" s="5" t="inlineStr">
        <is>
          <t>PC</t>
        </is>
      </c>
      <c r="G34" s="12" t="n">
        <v>8.15</v>
      </c>
      <c r="H34" s="12">
        <f>E34*G34</f>
        <v/>
      </c>
      <c r="I34" s="5" t="inlineStr">
        <is>
          <t>10 LF/pc</t>
        </is>
      </c>
    </row>
    <row r="35">
      <c r="A35" s="13" t="inlineStr">
        <is>
          <t>Edge metal / drip edge</t>
        </is>
      </c>
      <c r="B35" s="13" t="inlineStr">
        <is>
          <t>3x3 galvanized 10'</t>
        </is>
      </c>
      <c r="C35" s="14">
        <f>$C$10</f>
        <v/>
      </c>
      <c r="D35" s="15" t="n">
        <v>0.1</v>
      </c>
      <c r="E35" s="13">
        <f>ROUNDUP(C35*(1+D35)/10,0)</f>
        <v/>
      </c>
      <c r="F35" s="13" t="inlineStr">
        <is>
          <t>PC</t>
        </is>
      </c>
      <c r="G35" s="16" t="n">
        <v>5.45</v>
      </c>
      <c r="H35" s="16">
        <f>E35*G35</f>
        <v/>
      </c>
      <c r="I35" s="13" t="inlineStr">
        <is>
          <t>10 LF/pc — VERIFY price is per 10' pc</t>
        </is>
      </c>
    </row>
    <row r="36">
      <c r="A36" s="5" t="inlineStr">
        <is>
          <t>Fasteners (mechanical)</t>
        </is>
      </c>
      <c r="B36" s="5" t="inlineStr">
        <is>
          <t>Trufast 3" #14 HD #HD-3000 (1M/bkt)</t>
        </is>
      </c>
      <c r="C36" s="10">
        <f>IF($C$15="Mechanical",$C$6/100*$C$16,0)</f>
        <v/>
      </c>
      <c r="D36" s="11" t="n">
        <v>0.05</v>
      </c>
      <c r="E36" s="5">
        <f>ROUNDUP(C36*(1+D36)/1000,0)</f>
        <v/>
      </c>
      <c r="F36" s="5" t="inlineStr">
        <is>
          <t>Bucket</t>
        </is>
      </c>
      <c r="G36" s="12" t="n">
        <v>133</v>
      </c>
      <c r="H36" s="12">
        <f>E36*G36</f>
        <v/>
      </c>
      <c r="I36" s="5" t="inlineStr">
        <is>
          <t>Length per deck — confirm</t>
        </is>
      </c>
    </row>
    <row r="37">
      <c r="A37" s="13" t="inlineStr">
        <is>
          <t>Plates (mechanical)</t>
        </is>
      </c>
      <c r="B37" s="13" t="inlineStr">
        <is>
          <t>Trufast 3" Galvalume plate #MP-3000 (1M/bkt)</t>
        </is>
      </c>
      <c r="C37" s="14">
        <f>IF($C$15="Mechanical",$C$6/100*$C$16,0)</f>
        <v/>
      </c>
      <c r="D37" s="15" t="n">
        <v>0.05</v>
      </c>
      <c r="E37" s="13">
        <f>ROUNDUP(C37*(1+D37)/1000,0)</f>
        <v/>
      </c>
      <c r="F37" s="13" t="inlineStr">
        <is>
          <t>Bucket</t>
        </is>
      </c>
      <c r="G37" s="16" t="n">
        <v>189</v>
      </c>
      <c r="H37" s="16">
        <f>E37*G37</f>
        <v/>
      </c>
      <c r="I37" s="13" t="inlineStr">
        <is>
          <t>1 per fastener</t>
        </is>
      </c>
    </row>
    <row r="38">
      <c r="A38" s="5" t="inlineStr">
        <is>
          <t>Tapered ISO insulation</t>
        </is>
      </c>
      <c r="B38" s="5" t="inlineStr">
        <is>
          <t>GAF EnergyGuard tapered ISO — Gulfeagle quote</t>
        </is>
      </c>
      <c r="C38" s="10">
        <f>IF($C$17&gt;0,1,0)</f>
        <v/>
      </c>
      <c r="D38" s="11" t="n">
        <v>0</v>
      </c>
      <c r="E38" s="5">
        <f>C38</f>
        <v/>
      </c>
      <c r="F38" s="5" t="inlineStr">
        <is>
          <t>Lump</t>
        </is>
      </c>
      <c r="G38" s="12">
        <f>$C$17</f>
        <v/>
      </c>
      <c r="H38" s="12">
        <f>E38*G38</f>
        <v/>
      </c>
      <c r="I38" s="5" t="inlineStr">
        <is>
          <t>Supplier cut list</t>
        </is>
      </c>
    </row>
    <row r="40">
      <c r="G40" s="3" t="inlineStr">
        <is>
          <t>Material subtotal</t>
        </is>
      </c>
      <c r="H40" s="12">
        <f>SUM(H22:H38)</f>
        <v/>
      </c>
    </row>
    <row r="41">
      <c r="G41" s="3" t="inlineStr">
        <is>
          <t>Sales tax</t>
        </is>
      </c>
      <c r="H41" s="12">
        <f>H40*$C$18</f>
        <v/>
      </c>
    </row>
    <row r="42">
      <c r="G42" s="17" t="inlineStr">
        <is>
          <t>TOTAL MATERIAL COST</t>
        </is>
      </c>
      <c r="H42" s="18">
        <f>H40+H41</f>
        <v/>
      </c>
    </row>
    <row r="44">
      <c r="A44" s="2" t="inlineStr">
        <is>
          <t>Notes: Water Block / FlexSeal rates are bead-size estimates (not GAF-published). Mechanical fastener density must come from the NOA for the deck and wind zone. Prices from Gulfeagle invoices — confirm current before ordering.</t>
        </is>
      </c>
    </row>
  </sheetData>
  <dataValidations count="1">
    <dataValidation sqref="C15" showDropDown="0" showInputMessage="0" showErrorMessage="0" allowBlank="0" type="list">
      <formula1>"Adhered,Mechanical"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2026-10-20T07:35:53Z</dcterms:created>
  <dcterms:modified xmlns:dcterms="http://purl.org/dc/terms/" xmlns:xsi="http://www.w3.org/2001/XMLSchema-instance" xsi:type="dcterms:W3CDTF">2026-10-20T07:35:53Z</dcterms:modified>
</cp:coreProperties>
</file>