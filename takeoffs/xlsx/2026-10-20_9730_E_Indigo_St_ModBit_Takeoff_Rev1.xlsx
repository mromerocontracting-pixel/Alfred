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-Bit Takeoff Rev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10" customWidth="1" min="4" max="4"/>
    <col width="8" customWidth="1" min="5" max="5"/>
    <col width="11" customWidth="1" min="6" max="6"/>
    <col width="12" customWidth="1" min="7" max="7"/>
    <col width="46" customWidth="1" min="8" max="8"/>
  </cols>
  <sheetData>
    <row r="1">
      <c r="A1" s="1" t="inlineStr">
        <is>
          <t>9730 E Indigo St, Miami 33157 — Mod-Bit Material Takeoff Rev 1 (primed concrete, 1/4" tapered ISO, GAF StrataVent + Ruberoid 20 + granulated cap) — 10/20/2026</t>
        </is>
      </c>
    </row>
    <row r="3">
      <c r="A3" s="2" t="inlineStr">
        <is>
          <t>Material</t>
        </is>
      </c>
      <c r="B3" s="2" t="inlineStr">
        <is>
          <t>Product / SKU</t>
        </is>
      </c>
      <c r="C3" s="2" t="inlineStr">
        <is>
          <t>Basis</t>
        </is>
      </c>
      <c r="D3" s="2" t="inlineStr">
        <is>
          <t>Order Qty</t>
        </is>
      </c>
      <c r="E3" s="2" t="inlineStr">
        <is>
          <t>Unit</t>
        </is>
      </c>
      <c r="F3" s="2" t="inlineStr">
        <is>
          <t>Unit Cost</t>
        </is>
      </c>
      <c r="G3" s="2" t="inlineStr">
        <is>
          <t>Ext. Cost</t>
        </is>
      </c>
      <c r="H3" s="2" t="inlineStr">
        <is>
          <t>Notes</t>
        </is>
      </c>
    </row>
    <row r="4">
      <c r="A4" s="3" t="inlineStr">
        <is>
          <t>Concrete deck primer</t>
        </is>
      </c>
      <c r="B4" s="3" t="inlineStr">
        <is>
          <t>Tropical 410 asphalt primer 5 gal</t>
        </is>
      </c>
      <c r="C4" s="3" t="inlineStr">
        <is>
          <t>Deck 3,395 SF + walls 538 SF = 3,933 SF @ ~100 SF/gal (ASTM D41 typ.)</t>
        </is>
      </c>
      <c r="D4" s="3" t="n">
        <v>8</v>
      </c>
      <c r="E4" s="3" t="inlineStr">
        <is>
          <t>Pail</t>
        </is>
      </c>
      <c r="F4" s="4" t="n">
        <v>43.48</v>
      </c>
      <c r="G4" s="4">
        <f>D4*F4</f>
        <v/>
      </c>
      <c r="H4" s="3" t="inlineStr">
        <is>
          <t>Shop list 6/26/26 — confirm coverage</t>
        </is>
      </c>
    </row>
    <row r="5">
      <c r="A5" s="3" t="inlineStr">
        <is>
          <t>Tapered ISO system 1/4"/ft + 1/2" crickets</t>
        </is>
      </c>
      <c r="B5" s="3" t="inlineStr">
        <is>
          <t>Gulfeagle tapered quote #26-2928 (10/19/26)</t>
        </is>
      </c>
      <c r="C5" s="3" t="inlineStr">
        <is>
          <t>33.24 SQ tapered + 2.00 SQ crickets; 0.5" start, 8.94" max, 2.0" ISO fill; 104.80 SQ material / 99.24 SQ applied; avg LTTR R-27.1</t>
        </is>
      </c>
      <c r="D5" s="3" t="n">
        <v>1</v>
      </c>
      <c r="E5" s="3" t="inlineStr">
        <is>
          <t>LS</t>
        </is>
      </c>
      <c r="F5" s="4" t="n">
        <v>10387</v>
      </c>
      <c r="G5" s="4">
        <f>D5*F5</f>
        <v/>
      </c>
      <c r="H5" s="3" t="inlineStr">
        <is>
          <t>Quote expires 11/18/2026; base layer + overlay NOT included</t>
        </is>
      </c>
    </row>
    <row r="6">
      <c r="A6" s="3" t="inlineStr">
        <is>
          <t>Interply / base flashing ply</t>
        </is>
      </c>
      <c r="B6" s="3" t="inlineStr">
        <is>
          <t>GAF Ruberoid 20 smooth 1.5 SQ</t>
        </is>
      </c>
      <c r="C6" s="3" t="inlineStr">
        <is>
          <t>Field 33.95 + wall flashing 5.38 SQ, +10% = 43.3 SQ</t>
        </is>
      </c>
      <c r="D6" s="3" t="n">
        <v>29</v>
      </c>
      <c r="E6" s="3" t="inlineStr">
        <is>
          <t>Roll</t>
        </is>
      </c>
      <c r="F6" s="4" t="n">
        <v>85</v>
      </c>
      <c r="G6" s="4">
        <f>D6*F6</f>
        <v/>
      </c>
      <c r="H6" s="3" t="inlineStr">
        <is>
          <t>Shop list 6/26/26</t>
        </is>
      </c>
    </row>
    <row r="7">
      <c r="A7" s="3" t="inlineStr">
        <is>
          <t>Granulated cap sheet (field + flashing)</t>
        </is>
      </c>
      <c r="B7" s="3" t="inlineStr">
        <is>
          <t>GAF Capsheet 1.25 SQ (granulated)</t>
        </is>
      </c>
      <c r="C7" s="3" t="inlineStr">
        <is>
          <t>43.3 SQ ÷ 1.25</t>
        </is>
      </c>
      <c r="D7" s="3" t="n">
        <v>35</v>
      </c>
      <c r="E7" s="3" t="inlineStr">
        <is>
          <t>Roll</t>
        </is>
      </c>
      <c r="F7" s="4" t="n">
        <v>59.9</v>
      </c>
      <c r="G7" s="4">
        <f>D7*F7</f>
        <v/>
      </c>
      <c r="H7" s="3" t="inlineStr">
        <is>
          <t>Shop list — confirm product (Ruberoid/Mineral cap)</t>
        </is>
      </c>
    </row>
    <row r="8">
      <c r="A8" s="3" t="inlineStr">
        <is>
          <t>Hot asphalt (if hot-mopped)</t>
        </is>
      </c>
      <c r="B8" s="3" t="inlineStr">
        <is>
          <t>Asphalt (price book: 'Asphalt (24)')</t>
        </is>
      </c>
      <c r="C8" s="3" t="inlineStr">
        <is>
          <t>ISO 99.24 SQ applied (all layers) + StrataVent, ply, cap 3 × 33.95 SQ + flashings 10.76 SQ, all @ 25 lb/SQ, +10% ≈ 5,830 lb</t>
        </is>
      </c>
      <c r="D8" s="3" t="n">
        <v>59</v>
      </c>
      <c r="E8" s="3" t="inlineStr">
        <is>
          <t>Keg</t>
        </is>
      </c>
      <c r="F8" s="4" t="n">
        <v>40</v>
      </c>
      <c r="G8" s="4">
        <f>D8*F8</f>
        <v/>
      </c>
      <c r="H8" s="3" t="inlineStr">
        <is>
          <t>ASSUMES hot mop + 100-lb kegs; price book unit reads 'Roll' — confirm</t>
        </is>
      </c>
    </row>
    <row r="9">
      <c r="A9" s="3" t="inlineStr">
        <is>
          <t>Cant strip</t>
        </is>
      </c>
      <c r="B9" s="3" t="inlineStr">
        <is>
          <t>Cant strip 1x4 (84 LF/unit)</t>
        </is>
      </c>
      <c r="C9" s="3" t="inlineStr">
        <is>
          <t>269 LF + 10%</t>
        </is>
      </c>
      <c r="D9" s="3" t="n">
        <v>4</v>
      </c>
      <c r="E9" s="3" t="inlineStr">
        <is>
          <t>EA</t>
        </is>
      </c>
      <c r="F9" s="4" t="n">
        <v>40</v>
      </c>
      <c r="G9" s="4">
        <f>D9*F9</f>
        <v/>
      </c>
      <c r="H9" s="3" t="inlineStr">
        <is>
          <t>Shop list — confirm unit</t>
        </is>
      </c>
    </row>
    <row r="10">
      <c r="A10" s="3" t="inlineStr">
        <is>
          <t>Termination bar</t>
        </is>
      </c>
      <c r="B10" s="3" t="inlineStr">
        <is>
          <t>OMG flat alum term bar 10' #FLATB06</t>
        </is>
      </c>
      <c r="C10" s="3" t="inlineStr">
        <is>
          <t>269 LF + 10%</t>
        </is>
      </c>
      <c r="D10" s="3" t="n">
        <v>30</v>
      </c>
      <c r="E10" s="3" t="inlineStr">
        <is>
          <t>PC</t>
        </is>
      </c>
      <c r="F10" s="4" t="n">
        <v>8</v>
      </c>
      <c r="G10" s="4">
        <f>D10*F10</f>
        <v/>
      </c>
      <c r="H10" s="3" t="inlineStr">
        <is>
          <t>Price book</t>
        </is>
      </c>
    </row>
    <row r="11">
      <c r="A11" s="3" t="inlineStr">
        <is>
          <t>Counterflashing (surface-mount)</t>
        </is>
      </c>
      <c r="B11" s="3" t="inlineStr">
        <is>
          <t>Stucco stop 5" 26 ga galv 10'</t>
        </is>
      </c>
      <c r="C11" s="3" t="inlineStr">
        <is>
          <t>269 LF + 10%</t>
        </is>
      </c>
      <c r="D11" s="3" t="n">
        <v>30</v>
      </c>
      <c r="E11" s="3" t="inlineStr">
        <is>
          <t>PC</t>
        </is>
      </c>
      <c r="F11" s="4" t="n">
        <v>8.15</v>
      </c>
      <c r="G11" s="4">
        <f>D11*F11</f>
        <v/>
      </c>
      <c r="H11" s="3" t="inlineStr">
        <is>
          <t>Price book</t>
        </is>
      </c>
    </row>
    <row r="12">
      <c r="A12" s="3" t="inlineStr">
        <is>
          <t>Masonry anchors</t>
        </is>
      </c>
      <c r="B12" s="3" t="inlineStr">
        <is>
          <t>OMG 1/4"x1-1/4" masonry anchor #MA114X</t>
        </is>
      </c>
      <c r="C12" s="3" t="inlineStr">
        <is>
          <t>2 rows @ 12" o.c. (538 + 10%)</t>
        </is>
      </c>
      <c r="D12" s="3" t="n">
        <v>6</v>
      </c>
      <c r="E12" s="3" t="inlineStr">
        <is>
          <t>Box</t>
        </is>
      </c>
      <c r="F12" s="4" t="n">
        <v>9</v>
      </c>
      <c r="G12" s="4">
        <f>D12*F12</f>
        <v/>
      </c>
      <c r="H12" s="3" t="inlineStr">
        <is>
          <t>Price book</t>
        </is>
      </c>
    </row>
    <row r="13">
      <c r="A13" s="3" t="inlineStr">
        <is>
          <t>Flashing cement (term bar seal)</t>
        </is>
      </c>
      <c r="B13" s="3" t="inlineStr">
        <is>
          <t>Tropical 2100 Rubberoid flashing cement</t>
        </is>
      </c>
      <c r="C13" s="3" t="inlineStr">
        <is>
          <t>269 LF ÷ 12 LF/tube + 10%</t>
        </is>
      </c>
      <c r="D13" s="3" t="n">
        <v>25</v>
      </c>
      <c r="E13" s="3" t="inlineStr">
        <is>
          <t>Tube</t>
        </is>
      </c>
      <c r="F13" s="4" t="n">
        <v>6.15</v>
      </c>
      <c r="G13" s="4">
        <f>D13*F13</f>
        <v/>
      </c>
      <c r="H13" s="3" t="inlineStr">
        <is>
          <t>Shop list</t>
        </is>
      </c>
    </row>
    <row r="14">
      <c r="A14" s="3" t="inlineStr">
        <is>
          <t>Sealant (top of counterflashing)</t>
        </is>
      </c>
      <c r="B14" s="3" t="inlineStr">
        <is>
          <t>Bostik 915 white caulking</t>
        </is>
      </c>
      <c r="C14" s="3" t="inlineStr">
        <is>
          <t>269 LF ÷ 12 LF/tube + 10%</t>
        </is>
      </c>
      <c r="D14" s="3" t="n">
        <v>25</v>
      </c>
      <c r="E14" s="3" t="inlineStr">
        <is>
          <t>Tube</t>
        </is>
      </c>
      <c r="F14" s="4" t="n">
        <v>4.9</v>
      </c>
      <c r="G14" s="4">
        <f>D14*F14</f>
        <v/>
      </c>
      <c r="H14" s="3" t="inlineStr">
        <is>
          <t>Shop list</t>
        </is>
      </c>
    </row>
    <row r="15">
      <c r="A15" s="3" t="inlineStr">
        <is>
          <t>Granules (touch-up)</t>
        </is>
      </c>
      <c r="B15" s="3" t="inlineStr">
        <is>
          <t>Granule bags</t>
        </is>
      </c>
      <c r="C15" s="3" t="inlineStr">
        <is>
          <t>Job</t>
        </is>
      </c>
      <c r="D15" s="3" t="n">
        <v>2</v>
      </c>
      <c r="E15" s="3" t="inlineStr">
        <is>
          <t>Bag</t>
        </is>
      </c>
      <c r="F15" s="4" t="n">
        <v>19.8</v>
      </c>
      <c r="G15" s="4">
        <f>D15*F15</f>
        <v/>
      </c>
      <c r="H15" s="3" t="inlineStr">
        <is>
          <t>Shop list</t>
        </is>
      </c>
    </row>
    <row r="16">
      <c r="A16" s="3" t="inlineStr">
        <is>
          <t>Mops</t>
        </is>
      </c>
      <c r="B16" s="3" t="inlineStr">
        <is>
          <t>Mop</t>
        </is>
      </c>
      <c r="C16" s="3" t="inlineStr">
        <is>
          <t>Hot mop crew</t>
        </is>
      </c>
      <c r="D16" s="3" t="n">
        <v>6</v>
      </c>
      <c r="E16" s="3" t="inlineStr">
        <is>
          <t>EA</t>
        </is>
      </c>
      <c r="F16" s="4" t="n">
        <v>7.15</v>
      </c>
      <c r="G16" s="4">
        <f>D16*F16</f>
        <v/>
      </c>
      <c r="H16" s="3" t="inlineStr">
        <is>
          <t>Shop list</t>
        </is>
      </c>
    </row>
    <row r="17">
      <c r="A17" s="3" t="inlineStr">
        <is>
          <t>Brushes 4"</t>
        </is>
      </c>
      <c r="B17" s="3" t="inlineStr">
        <is>
          <t>Brush 4</t>
        </is>
      </c>
      <c r="C17" s="3" t="inlineStr">
        <is>
          <t>Primer cut-in</t>
        </is>
      </c>
      <c r="D17" s="3" t="n">
        <v>6</v>
      </c>
      <c r="E17" s="3" t="inlineStr">
        <is>
          <t>EA</t>
        </is>
      </c>
      <c r="F17" s="4" t="n">
        <v>1.47</v>
      </c>
      <c r="G17" s="4">
        <f>D17*F17</f>
        <v/>
      </c>
      <c r="H17" s="3" t="inlineStr">
        <is>
          <t>Shop list</t>
        </is>
      </c>
    </row>
    <row r="19">
      <c r="F19" s="5" t="inlineStr">
        <is>
          <t>Material subtotal</t>
        </is>
      </c>
      <c r="G19" s="6">
        <f>SUM(G4:G17)</f>
        <v/>
      </c>
    </row>
    <row r="20">
      <c r="F20" s="5" t="inlineStr">
        <is>
          <t>Sales tax 7%</t>
        </is>
      </c>
      <c r="G20" s="6">
        <f>ROUND(G19*0.07,2)</f>
        <v/>
      </c>
    </row>
    <row r="21">
      <c r="F21" s="5" t="inlineStr">
        <is>
          <t>TOTAL MATERIAL (base bid, priced lines)</t>
        </is>
      </c>
      <c r="G21" s="6">
        <f>G19+G20</f>
        <v/>
      </c>
    </row>
    <row r="23">
      <c r="A23" s="5" t="inlineStr">
        <is>
          <t>ADD ALTERNATE / OPTION (not in base total):</t>
        </is>
      </c>
    </row>
    <row r="24">
      <c r="A24" s="3" t="inlineStr">
        <is>
          <t>OPTION — Wood nailer at parapet top</t>
        </is>
      </c>
      <c r="B24" s="3" t="inlineStr">
        <is>
          <t>2x8x10 (confirm PT / width)</t>
        </is>
      </c>
      <c r="C24" s="3" t="inlineStr">
        <is>
          <t>272 LF + 10%</t>
        </is>
      </c>
      <c r="D24" s="3" t="n">
        <v>30</v>
      </c>
      <c r="E24" s="3" t="inlineStr">
        <is>
          <t>EA</t>
        </is>
      </c>
      <c r="F24" s="4" t="n">
        <v>10.85</v>
      </c>
      <c r="G24" s="4">
        <f>D24*F24</f>
        <v/>
      </c>
      <c r="H24" s="3" t="inlineStr">
        <is>
          <t>Shop list</t>
        </is>
      </c>
    </row>
    <row r="25">
      <c r="A25" s="3" t="inlineStr">
        <is>
          <t>OPTION — 22 ga continuous S.S. coping cap + A.R.B.S./cleat</t>
        </is>
      </c>
      <c r="B25" s="3" t="inlineStr">
        <is>
          <t>Per S-4.0 det. 2–4</t>
        </is>
      </c>
      <c r="C25" s="3" t="inlineStr">
        <is>
          <t>~272 LF + 10% ≈ 300 LF</t>
        </is>
      </c>
      <c r="D25" s="3" t="inlineStr">
        <is>
          <t>TBD</t>
        </is>
      </c>
      <c r="E25" s="3" t="inlineStr">
        <is>
          <t>LF</t>
        </is>
      </c>
      <c r="F25" s="4" t="inlineStr">
        <is>
          <t>TBD</t>
        </is>
      </c>
      <c r="G25" s="4" t="inlineStr">
        <is>
          <t>TBD</t>
        </is>
      </c>
      <c r="H25" s="3" t="inlineStr">
        <is>
          <t>Sheet-metal quote needed</t>
        </is>
      </c>
    </row>
    <row r="27">
      <c r="A27" s="5" t="inlineStr">
        <is>
          <t>NOT PRICED (TBD):</t>
        </is>
      </c>
    </row>
    <row r="28">
      <c r="A28" t="inlineStr">
        <is>
          <t>GAF StrataVent venting base sheet ($59.00/roll shop list)</t>
        </is>
      </c>
      <c r="C28" t="inlineStr">
        <is>
          <t>37.3 SQ needed (33.95 + 10%) — roll coverage not in price book</t>
        </is>
      </c>
    </row>
    <row r="29">
      <c r="A29" t="inlineStr">
        <is>
          <t>Cover board / overlay (if NOA requires)</t>
        </is>
      </c>
      <c r="C29" t="inlineStr">
        <is>
          <t>Not in Gulfeagle quote — 33.95 SQ</t>
        </is>
      </c>
    </row>
    <row r="30">
      <c r="A30" t="inlineStr">
        <is>
          <t>6' perimeter @ 1/2":12 w/ LWIC + 1"/2" board (S-4.0 det. 2–4)</t>
        </is>
      </c>
      <c r="C30" t="inlineStr">
        <is>
          <t>Not in Gulfeagle quote — confirm scope</t>
        </is>
      </c>
    </row>
    <row r="31">
      <c r="A31" t="inlineStr">
        <is>
          <t>Scuppers (3 primary + overflow, 12"x6" min) + 24 ga S.S. escutcheons</t>
        </is>
      </c>
      <c r="C31" t="inlineStr">
        <is>
          <t>Overflow count not on plan</t>
        </is>
      </c>
    </row>
    <row r="32">
      <c r="A32" t="inlineStr">
        <is>
          <t>22 ga S.S. collector heads + 4"x4" downspouts</t>
        </is>
      </c>
      <c r="C32" t="inlineStr">
        <is>
          <t>3 each</t>
        </is>
      </c>
    </row>
    <row r="33">
      <c r="A33" t="inlineStr">
        <is>
          <t>Canopy / eyebrow slab (~648 SF)</t>
        </is>
      </c>
      <c r="C33" t="inlineStr">
        <is>
          <t>Excluded — option: liquid-applied (GAF/Tremco/Sika)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2026-10-20T23:13:12Z</dcterms:created>
  <dcterms:modified xmlns:dcterms="http://purl.org/dc/terms/" xmlns:xsi="http://www.w3.org/2001/XMLSchema-instance" xsi:type="dcterms:W3CDTF">2026-10-20T23:13:12Z</dcterms:modified>
</cp:coreProperties>
</file>