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PO Takeoff Rev 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>
        <color rgb="009AA3B5"/>
      </left>
      <right style="thin">
        <color rgb="009AA3B5"/>
      </right>
      <top style="thin">
        <color rgb="009AA3B5"/>
      </top>
      <bottom style="thin">
        <color rgb="009AA3B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30" customWidth="1" min="3" max="3"/>
    <col width="10" customWidth="1" min="4" max="4"/>
    <col width="8" customWidth="1" min="5" max="5"/>
    <col width="11" customWidth="1" min="6" max="6"/>
    <col width="12" customWidth="1" min="7" max="7"/>
    <col width="46" customWidth="1" min="8" max="8"/>
  </cols>
  <sheetData>
    <row r="1">
      <c r="A1" s="1" t="inlineStr">
        <is>
          <t>9139 NE 10th Ave, Miami Shores — TPO Material Takeoff Rev 1 (GAF EverGuard 60 mil, MECH. ATTACHED to plywood, NOA 25-0707.01 E(4)) — 10/20/2026</t>
        </is>
      </c>
    </row>
    <row r="3">
      <c r="A3" s="2" t="inlineStr">
        <is>
          <t>Material</t>
        </is>
      </c>
      <c r="B3" s="2" t="inlineStr">
        <is>
          <t>Product / SKU</t>
        </is>
      </c>
      <c r="C3" s="2" t="inlineStr">
        <is>
          <t>Basis</t>
        </is>
      </c>
      <c r="D3" s="2" t="inlineStr">
        <is>
          <t>Order Qty</t>
        </is>
      </c>
      <c r="E3" s="2" t="inlineStr">
        <is>
          <t>Unit</t>
        </is>
      </c>
      <c r="F3" s="2" t="inlineStr">
        <is>
          <t>Unit Cost</t>
        </is>
      </c>
      <c r="G3" s="2" t="inlineStr">
        <is>
          <t>Ext. Cost</t>
        </is>
      </c>
      <c r="H3" s="2" t="inlineStr">
        <is>
          <t>Notes</t>
        </is>
      </c>
    </row>
    <row r="4">
      <c r="A4" s="3" t="inlineStr">
        <is>
          <t>TPO membrane — field</t>
        </is>
      </c>
      <c r="B4" s="3" t="inlineStr">
        <is>
          <t>GAF EverGuard TPO .060 white 5'x100' #7561920</t>
        </is>
      </c>
      <c r="C4" s="3" t="inlineStr">
        <is>
          <t>4,628 SF, 48" rows + 5%</t>
        </is>
      </c>
      <c r="D4" s="3" t="n">
        <v>13</v>
      </c>
      <c r="E4" s="3" t="inlineStr">
        <is>
          <t>Roll</t>
        </is>
      </c>
      <c r="F4" s="4" t="n">
        <v>380</v>
      </c>
      <c r="G4" s="4">
        <f>D4*F4</f>
        <v/>
      </c>
      <c r="H4" s="3" t="inlineStr">
        <is>
          <t>Price book (Gulfeagle 3/30/26)</t>
        </is>
      </c>
    </row>
    <row r="5">
      <c r="A5" s="3" t="inlineStr">
        <is>
          <t>TPO membrane — parapet wrap &amp; fascia</t>
        </is>
      </c>
      <c r="B5" s="3" t="inlineStr">
        <is>
          <t>GAF EverGuard TPO .060 white 5'x100'</t>
        </is>
      </c>
      <c r="C5" s="3" t="inlineStr">
        <is>
          <t>~1,530 SF + 15%</t>
        </is>
      </c>
      <c r="D5" s="3" t="n">
        <v>4</v>
      </c>
      <c r="E5" s="3" t="inlineStr">
        <is>
          <t>Roll</t>
        </is>
      </c>
      <c r="F5" s="4" t="n">
        <v>380</v>
      </c>
      <c r="G5" s="4">
        <f>D5*F5</f>
        <v/>
      </c>
      <c r="H5" s="3" t="inlineStr">
        <is>
          <t>Price book</t>
        </is>
      </c>
    </row>
    <row r="6">
      <c r="A6" s="3" t="inlineStr">
        <is>
          <t>Detail membrane (end dams, details)</t>
        </is>
      </c>
      <c r="B6" s="3" t="inlineStr">
        <is>
          <t>GAF TPO UN-55 24"x50' #7624920TP</t>
        </is>
      </c>
      <c r="C6" s="3" t="inlineStr">
        <is>
          <t>~19 end dams + details</t>
        </is>
      </c>
      <c r="D6" s="3" t="n">
        <v>1</v>
      </c>
      <c r="E6" s="3" t="inlineStr">
        <is>
          <t>Roll</t>
        </is>
      </c>
      <c r="F6" s="4" t="n">
        <v>360</v>
      </c>
      <c r="G6" s="4">
        <f>D6*F6</f>
        <v/>
      </c>
      <c r="H6" s="3" t="inlineStr">
        <is>
          <t>Price book</t>
        </is>
      </c>
    </row>
    <row r="7">
      <c r="A7" s="3" t="inlineStr">
        <is>
          <t>Bonding adhesive (walls, tops, fascia)</t>
        </is>
      </c>
      <c r="B7" s="3" t="inlineStr">
        <is>
          <t>GAF #1121 solvent bond adh 5 gal #77800OM</t>
        </is>
      </c>
      <c r="C7" s="3" t="inlineStr">
        <is>
          <t>~1,230 SF @ 1.67 gal/SQ ≈ 21 gal</t>
        </is>
      </c>
      <c r="D7" s="3" t="n">
        <v>5</v>
      </c>
      <c r="E7" s="3" t="inlineStr">
        <is>
          <t>Pail</t>
        </is>
      </c>
      <c r="F7" s="4" t="n">
        <v>170</v>
      </c>
      <c r="G7" s="4">
        <f>D7*F7</f>
        <v/>
      </c>
      <c r="H7" s="3" t="inlineStr">
        <is>
          <t>Price book; HAZMAT</t>
        </is>
      </c>
    </row>
    <row r="8">
      <c r="A8" s="3" t="inlineStr">
        <is>
          <t>T-joint patches</t>
        </is>
      </c>
      <c r="B8" s="3" t="inlineStr">
        <is>
          <t>GAF TPO T-joint patch 4"x4" #7712920</t>
        </is>
      </c>
      <c r="C8" s="3" t="inlineStr">
        <is>
          <t>~1 per 60 SF</t>
        </is>
      </c>
      <c r="D8" s="3" t="n">
        <v>100</v>
      </c>
      <c r="E8" s="3" t="inlineStr">
        <is>
          <t>EA</t>
        </is>
      </c>
      <c r="F8" s="4" t="n">
        <v>0.82</v>
      </c>
      <c r="G8" s="4">
        <f>D8*F8</f>
        <v/>
      </c>
      <c r="H8" s="3" t="inlineStr">
        <is>
          <t>Price book</t>
        </is>
      </c>
    </row>
    <row r="9">
      <c r="A9" s="3" t="inlineStr">
        <is>
          <t>Seam cleaner</t>
        </is>
      </c>
      <c r="B9" s="3" t="inlineStr">
        <is>
          <t>GAF TPO seam cleaner 1 gal [7793]</t>
        </is>
      </c>
      <c r="C9" s="3" t="inlineStr">
        <is>
          <t>Job</t>
        </is>
      </c>
      <c r="D9" s="3" t="n">
        <v>1</v>
      </c>
      <c r="E9" s="3" t="inlineStr">
        <is>
          <t>Can</t>
        </is>
      </c>
      <c r="F9" s="4" t="n">
        <v>36.65</v>
      </c>
      <c r="G9" s="4">
        <f>D9*F9</f>
        <v/>
      </c>
      <c r="H9" s="3" t="inlineStr">
        <is>
          <t>Price book; HAZMAT</t>
        </is>
      </c>
    </row>
    <row r="10">
      <c r="A10" s="3" t="inlineStr">
        <is>
          <t>Termination bar (Roof D fascia)</t>
        </is>
      </c>
      <c r="B10" s="3" t="inlineStr">
        <is>
          <t>OMG flat alum term bar 10' #FLATB06</t>
        </is>
      </c>
      <c r="C10" s="3" t="inlineStr">
        <is>
          <t>21 LF</t>
        </is>
      </c>
      <c r="D10" s="3" t="n">
        <v>3</v>
      </c>
      <c r="E10" s="3" t="inlineStr">
        <is>
          <t>PC</t>
        </is>
      </c>
      <c r="F10" s="4" t="n">
        <v>8</v>
      </c>
      <c r="G10" s="4">
        <f>D10*F10</f>
        <v/>
      </c>
      <c r="H10" s="3" t="inlineStr">
        <is>
          <t>Price book</t>
        </is>
      </c>
    </row>
    <row r="11">
      <c r="A11" s="3" t="inlineStr">
        <is>
          <t>Wood nailer at parapet tops</t>
        </is>
      </c>
      <c r="B11" s="3" t="inlineStr">
        <is>
          <t>2x8x10 (confirm PT and width 8–9")</t>
        </is>
      </c>
      <c r="C11" s="3" t="inlineStr">
        <is>
          <t>327 LF + 10% ≈ 360 LF</t>
        </is>
      </c>
      <c r="D11" s="3" t="n">
        <v>36</v>
      </c>
      <c r="E11" s="3" t="inlineStr">
        <is>
          <t>EA</t>
        </is>
      </c>
      <c r="F11" s="4" t="n">
        <v>10.85</v>
      </c>
      <c r="G11" s="4">
        <f>D11*F11</f>
        <v/>
      </c>
      <c r="H11" s="3" t="inlineStr">
        <is>
          <t>Shop list 6/26/26 — confirm treated</t>
        </is>
      </c>
    </row>
    <row r="12">
      <c r="A12" s="3" t="inlineStr">
        <is>
          <t>Brushes 4"</t>
        </is>
      </c>
      <c r="B12" s="3" t="inlineStr">
        <is>
          <t>Brush 4</t>
        </is>
      </c>
      <c r="C12" s="3" t="inlineStr">
        <is>
          <t>Adhesive cut-in</t>
        </is>
      </c>
      <c r="D12" s="3" t="n">
        <v>6</v>
      </c>
      <c r="E12" s="3" t="inlineStr">
        <is>
          <t>EA</t>
        </is>
      </c>
      <c r="F12" s="4" t="n">
        <v>1.47</v>
      </c>
      <c r="G12" s="4">
        <f>D12*F12</f>
        <v/>
      </c>
      <c r="H12" s="3" t="inlineStr">
        <is>
          <t>Shop list</t>
        </is>
      </c>
    </row>
    <row r="13">
      <c r="A13" s="3" t="inlineStr">
        <is>
          <t>Roller frames 9" HD</t>
        </is>
      </c>
      <c r="B13" s="3" t="inlineStr">
        <is>
          <t>C&amp;R 9" HD roller frame #RF9HDN1</t>
        </is>
      </c>
      <c r="C13" s="3" t="inlineStr">
        <is>
          <t>Bonding adhesive</t>
        </is>
      </c>
      <c r="D13" s="3" t="n">
        <v>4</v>
      </c>
      <c r="E13" s="3" t="inlineStr">
        <is>
          <t>EA</t>
        </is>
      </c>
      <c r="F13" s="4" t="n">
        <v>2.7</v>
      </c>
      <c r="G13" s="4">
        <f>D13*F13</f>
        <v/>
      </c>
      <c r="H13" s="3" t="inlineStr">
        <is>
          <t>Gulfeagle inv 2/5/26</t>
        </is>
      </c>
    </row>
    <row r="14">
      <c r="A14" s="3" t="inlineStr">
        <is>
          <t>Roller covers 9" 3/4" nap</t>
        </is>
      </c>
      <c r="B14" s="3" t="inlineStr">
        <is>
          <t>C&amp;R 9" roller cover #RC9-3/4</t>
        </is>
      </c>
      <c r="C14" s="3" t="inlineStr">
        <is>
          <t>Bonding adhesive</t>
        </is>
      </c>
      <c r="D14" s="3" t="n">
        <v>12</v>
      </c>
      <c r="E14" s="3" t="inlineStr">
        <is>
          <t>EA</t>
        </is>
      </c>
      <c r="F14" s="4" t="n">
        <v>1.65</v>
      </c>
      <c r="G14" s="4">
        <f>D14*F14</f>
        <v/>
      </c>
      <c r="H14" s="3" t="inlineStr">
        <is>
          <t>Gulfeagle inv 2/5/26</t>
        </is>
      </c>
    </row>
    <row r="16">
      <c r="F16" s="5" t="inlineStr">
        <is>
          <t>Material subtotal</t>
        </is>
      </c>
      <c r="G16" s="6">
        <f>SUM(G4:G14)</f>
        <v/>
      </c>
    </row>
    <row r="17">
      <c r="F17" s="5" t="inlineStr">
        <is>
          <t>Sales tax 7%</t>
        </is>
      </c>
      <c r="G17" s="6">
        <f>ROUND(G16*0.07,2)</f>
        <v/>
      </c>
    </row>
    <row r="18">
      <c r="F18" s="5" t="inlineStr">
        <is>
          <t>TOTAL MATERIAL (priced lines)</t>
        </is>
      </c>
      <c r="G18" s="6">
        <f>G16+G17</f>
        <v/>
      </c>
    </row>
    <row r="20">
      <c r="A20" s="5" t="inlineStr">
        <is>
          <t>NOT PRICED (TBD):</t>
        </is>
      </c>
    </row>
    <row r="21">
      <c r="A21" t="inlineStr">
        <is>
          <t>Drill-Tec #14 1.75" fasteners (E(4)) — Marc to price</t>
        </is>
      </c>
      <c r="C21" t="inlineStr">
        <is>
          <t>~2,500</t>
        </is>
      </c>
    </row>
    <row r="22">
      <c r="A22" t="inlineStr">
        <is>
          <t>Drill-Tec 2-3/4" Barbed SXHD plates — Marc to price</t>
        </is>
      </c>
      <c r="C22" t="inlineStr">
        <is>
          <t>~2,500</t>
        </is>
      </c>
    </row>
    <row r="23">
      <c r="A23" t="inlineStr">
        <is>
          <t>Metal coping cap, prefinished Kynar (Worldly Gray)</t>
        </is>
      </c>
      <c r="C23" t="inlineStr">
        <is>
          <t>~360 LF</t>
        </is>
      </c>
    </row>
    <row r="24">
      <c r="A24" t="inlineStr">
        <is>
          <t>Continuous coping cleats, both faces</t>
        </is>
      </c>
      <c r="C24" t="inlineStr">
        <is>
          <t>~720 LF</t>
        </is>
      </c>
    </row>
    <row r="25">
      <c r="A25" t="inlineStr">
        <is>
          <t>Coping miters / tees / end caps / splice plates</t>
        </is>
      </c>
      <c r="C25" t="inlineStr">
        <is>
          <t>~20 / 6 / 12 / 36</t>
        </is>
      </c>
    </row>
    <row r="26">
      <c r="A26" t="inlineStr">
        <is>
          <t>Preformed inside / outside corners</t>
        </is>
      </c>
      <c r="C26" t="inlineStr">
        <is>
          <t>~25 / ~8</t>
        </is>
      </c>
    </row>
    <row r="27">
      <c r="A27" t="inlineStr">
        <is>
          <t>TPO cut-edge sealant</t>
        </is>
      </c>
      <c r="C27" t="inlineStr">
        <is>
          <t>10 pints</t>
        </is>
      </c>
    </row>
    <row r="28">
      <c r="A28" t="inlineStr">
        <is>
          <t>TPO-coated metal drip edge (GAF EverGuard TPO-coated metal), gutter + open eaves</t>
        </is>
      </c>
      <c r="C28" t="inlineStr">
        <is>
          <t>~255 LF (135 + 120) + cleats</t>
        </is>
      </c>
    </row>
    <row r="29">
      <c r="A29" t="inlineStr">
        <is>
          <t>Nailer fasteners to steel top track (self-tapping)</t>
        </is>
      </c>
      <c r="C29" t="inlineStr">
        <is>
          <t>~500</t>
        </is>
      </c>
    </row>
    <row r="30">
      <c r="A30" t="inlineStr">
        <is>
          <t>Pipe boots / curbs</t>
        </is>
      </c>
      <c r="C30" t="inlineStr">
        <is>
          <t>None shown on A-05 — allowance</t>
        </is>
      </c>
    </row>
    <row r="31">
      <c r="A31" t="inlineStr">
        <is>
          <t>Gutters (~124 LF) + 7 downspouts</t>
        </is>
      </c>
      <c r="C31" t="inlineStr">
        <is>
          <t>By others? confirm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2026-10-20T12:45:47Z</dcterms:created>
  <dcterms:modified xmlns:dcterms="http://purl.org/dc/terms/" xmlns:xsi="http://www.w3.org/2001/XMLSchema-instance" xsi:type="dcterms:W3CDTF">2026-10-20T12:45:47Z</dcterms:modified>
</cp:coreProperties>
</file>