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PO Takeoff Rev 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2A44"/>
      </patternFill>
    </fill>
  </fills>
  <borders count="2">
    <border>
      <left/>
      <right/>
      <top/>
      <bottom/>
      <diagonal/>
    </border>
    <border>
      <left style="thin">
        <color rgb="009AA3B5"/>
      </left>
      <right style="thin">
        <color rgb="009AA3B5"/>
      </right>
      <top style="thin">
        <color rgb="009AA3B5"/>
      </top>
      <bottom style="thin">
        <color rgb="009AA3B5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0" borderId="1" pivotButton="0" quotePrefix="0" xfId="0"/>
    <xf numFmtId="164" fontId="0" fillId="0" borderId="1" pivotButton="0" quotePrefix="0" xfId="0"/>
    <xf numFmtId="0" fontId="3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32" customWidth="1" min="1" max="1"/>
    <col width="44" customWidth="1" min="2" max="2"/>
    <col width="46" customWidth="1" min="3" max="3"/>
    <col width="10" customWidth="1" min="4" max="4"/>
    <col width="7" customWidth="1" min="5" max="5"/>
    <col width="11" customWidth="1" min="6" max="6"/>
    <col width="12" customWidth="1" min="7" max="7"/>
    <col width="40" customWidth="1" min="8" max="8"/>
  </cols>
  <sheetData>
    <row r="1">
      <c r="A1" s="1" t="inlineStr">
        <is>
          <t>769 NE 74th St — TPO Material Takeoff Rev 2 (GAF EverGuard .060 FULLY BONDED, GAF details 301A + 307A) — 10/20/2026</t>
        </is>
      </c>
    </row>
    <row r="3">
      <c r="A3" s="2" t="inlineStr">
        <is>
          <t>Material</t>
        </is>
      </c>
      <c r="B3" s="2" t="inlineStr">
        <is>
          <t>Product / SKU</t>
        </is>
      </c>
      <c r="C3" s="2" t="inlineStr">
        <is>
          <t>Basis / Net</t>
        </is>
      </c>
      <c r="D3" s="2" t="inlineStr">
        <is>
          <t>Order Qty</t>
        </is>
      </c>
      <c r="E3" s="2" t="inlineStr">
        <is>
          <t>Unit</t>
        </is>
      </c>
      <c r="F3" s="2" t="inlineStr">
        <is>
          <t>Unit Cost</t>
        </is>
      </c>
      <c r="G3" s="2" t="inlineStr">
        <is>
          <t>Ext. Cost</t>
        </is>
      </c>
      <c r="H3" s="2" t="inlineStr">
        <is>
          <t>Notes</t>
        </is>
      </c>
    </row>
    <row r="4">
      <c r="A4" s="3" t="inlineStr">
        <is>
          <t>TPO membrane (field + wall strips)</t>
        </is>
      </c>
      <c r="B4" s="3" t="inlineStr">
        <is>
          <t>GAF EverGuard TPO .060 white 5'x100' #7561920</t>
        </is>
      </c>
      <c r="C4" s="3" t="inlineStr">
        <is>
          <t>2,439.86 SF field +10% (2,684) + 289 LF x 2.5' wall strips (722)</t>
        </is>
      </c>
      <c r="D4" s="3" t="n">
        <v>7</v>
      </c>
      <c r="E4" s="3" t="inlineStr">
        <is>
          <t>Roll</t>
        </is>
      </c>
      <c r="F4" s="4" t="n">
        <v>380</v>
      </c>
      <c r="G4" s="4">
        <f>D4*F4</f>
        <v/>
      </c>
      <c r="H4" s="3" t="inlineStr">
        <is>
          <t>Field 6 rolls + 1 for 30" reinforced wall flashing strips (GAF 301A)</t>
        </is>
      </c>
    </row>
    <row r="5">
      <c r="A5" s="3" t="inlineStr">
        <is>
          <t>Detail membrane (corners/details)</t>
        </is>
      </c>
      <c r="B5" s="3" t="inlineStr">
        <is>
          <t>GAF TPO UN-55 24"x50' #7624920TP</t>
        </is>
      </c>
      <c r="C5" s="3" t="inlineStr">
        <is>
          <t>Inside/outside corners, scuppers</t>
        </is>
      </c>
      <c r="D5" s="3" t="n">
        <v>1</v>
      </c>
      <c r="E5" s="3" t="inlineStr">
        <is>
          <t>Roll</t>
        </is>
      </c>
      <c r="F5" s="4" t="n">
        <v>360</v>
      </c>
      <c r="G5" s="4">
        <f>D5*F5</f>
        <v/>
      </c>
      <c r="H5" s="3" t="inlineStr">
        <is>
          <t>Unreinforced — details only</t>
        </is>
      </c>
    </row>
    <row r="6">
      <c r="A6" s="3" t="inlineStr">
        <is>
          <t>Bonding adhesive</t>
        </is>
      </c>
      <c r="B6" s="3" t="inlineStr">
        <is>
          <t>GAF #1121 solvent bond adh 5 gal #77800OM</t>
        </is>
      </c>
      <c r="C6" s="3" t="inlineStr">
        <is>
          <t>Field 9 + flashing 2</t>
        </is>
      </c>
      <c r="D6" s="3" t="n">
        <v>11</v>
      </c>
      <c r="E6" s="3" t="inlineStr">
        <is>
          <t>Pail</t>
        </is>
      </c>
      <c r="F6" s="4" t="n">
        <v>170</v>
      </c>
      <c r="G6" s="4">
        <f>D6*F6</f>
        <v/>
      </c>
      <c r="H6" s="3" t="inlineStr">
        <is>
          <t>Fully bonded; HAZMAT</t>
        </is>
      </c>
    </row>
    <row r="7">
      <c r="A7" s="3" t="inlineStr">
        <is>
          <t>Insulation adhesive</t>
        </is>
      </c>
      <c r="B7" s="3" t="inlineStr">
        <is>
          <t>OlyBond 500</t>
        </is>
      </c>
      <c r="C7" s="3" t="inlineStr">
        <is>
          <t>ISO to concrete deck</t>
        </is>
      </c>
      <c r="D7" s="3" t="n">
        <v>3</v>
      </c>
      <c r="E7" s="3" t="inlineStr">
        <is>
          <t>EA</t>
        </is>
      </c>
      <c r="F7" s="4" t="n">
        <v>1080</v>
      </c>
      <c r="G7" s="4">
        <f>D7*F7</f>
        <v/>
      </c>
      <c r="H7" s="3" t="inlineStr">
        <is>
          <t>Per Marc</t>
        </is>
      </c>
    </row>
    <row r="8">
      <c r="A8" s="3" t="inlineStr">
        <is>
          <t>Tapered ISO insulation</t>
        </is>
      </c>
      <c r="B8" s="3" t="inlineStr">
        <is>
          <t>GAF EnergyGuard tapered ISO — Gulfeagle revised quote</t>
        </is>
      </c>
      <c r="C8" s="3" t="inlineStr">
        <is>
          <t>23.37 SQ, 1/4"/ft</t>
        </is>
      </c>
      <c r="D8" s="3" t="n">
        <v>1</v>
      </c>
      <c r="E8" s="3" t="inlineStr">
        <is>
          <t>Lump</t>
        </is>
      </c>
      <c r="F8" s="4" t="n">
        <v>12929</v>
      </c>
      <c r="G8" s="4">
        <f>D8*F8</f>
        <v/>
      </c>
      <c r="H8" s="3" t="inlineStr">
        <is>
          <t>Revised Gulfeagle quote per Marc 10/20/2026</t>
        </is>
      </c>
    </row>
    <row r="9">
      <c r="A9" s="3" t="inlineStr">
        <is>
          <t>Termination bar (2 rows)</t>
        </is>
      </c>
      <c r="B9" s="3" t="inlineStr">
        <is>
          <t>OMG flat alum term bar 10' #FLATB06</t>
        </is>
      </c>
      <c r="C9" s="3" t="inlineStr">
        <is>
          <t>Base of wall (GAF 307A) + top of flashing (GAF 301A): 2 x 262.45 LF</t>
        </is>
      </c>
      <c r="D9" s="3" t="n">
        <v>60</v>
      </c>
      <c r="E9" s="3" t="inlineStr">
        <is>
          <t>PC</t>
        </is>
      </c>
      <c r="F9" s="4" t="n">
        <v>8</v>
      </c>
      <c r="G9" s="4">
        <f>D9*F9</f>
        <v/>
      </c>
      <c r="H9" s="3" t="inlineStr">
        <is>
          <t>12" o.c.</t>
        </is>
      </c>
    </row>
    <row r="10">
      <c r="A10" s="3" t="inlineStr">
        <is>
          <t>Masonry anchors</t>
        </is>
      </c>
      <c r="B10" s="3" t="inlineStr">
        <is>
          <t>OMG 1/4"x1-1/4" masonry anchor #MA114X</t>
        </is>
      </c>
      <c r="C10" s="3" t="inlineStr">
        <is>
          <t>3 rows @ 12" o.c.: 2 term bar + counterflashing (787 +10% = 866)</t>
        </is>
      </c>
      <c r="D10" s="3" t="n">
        <v>9</v>
      </c>
      <c r="E10" s="3" t="inlineStr">
        <is>
          <t>Box</t>
        </is>
      </c>
      <c r="F10" s="4" t="n">
        <v>9</v>
      </c>
      <c r="G10" s="4">
        <f>D10*F10</f>
        <v/>
      </c>
      <c r="H10" s="3" t="inlineStr">
        <is>
          <t>100/box</t>
        </is>
      </c>
    </row>
    <row r="11">
      <c r="A11" s="3" t="inlineStr">
        <is>
          <t>Counterflashing (surface-mount)</t>
        </is>
      </c>
      <c r="B11" s="3" t="inlineStr">
        <is>
          <t>Stucco stop 5" 26 ga galv 10'</t>
        </is>
      </c>
      <c r="C11" s="3" t="inlineStr">
        <is>
          <t>262.45 LF +10%</t>
        </is>
      </c>
      <c r="D11" s="3" t="n">
        <v>29</v>
      </c>
      <c r="E11" s="3" t="inlineStr">
        <is>
          <t>PC</t>
        </is>
      </c>
      <c r="F11" s="4" t="n">
        <v>8.15</v>
      </c>
      <c r="G11" s="4">
        <f>D11*F11</f>
        <v/>
      </c>
      <c r="H11" s="3" t="inlineStr">
        <is>
          <t>Alt: 2-part SS reglet per A-3</t>
        </is>
      </c>
    </row>
    <row r="12">
      <c r="A12" s="3" t="inlineStr">
        <is>
          <t>Water Block</t>
        </is>
      </c>
      <c r="B12" s="3" t="inlineStr">
        <is>
          <t>GAF EverGuard Water Block 10.3 oz #8008</t>
        </is>
      </c>
      <c r="C12" s="3" t="inlineStr">
        <is>
          <t>Behind top term bar + drains</t>
        </is>
      </c>
      <c r="D12" s="3" t="n">
        <v>22</v>
      </c>
      <c r="E12" s="3" t="inlineStr">
        <is>
          <t>Tube</t>
        </is>
      </c>
      <c r="F12" s="4" t="n">
        <v>8.5</v>
      </c>
      <c r="G12" s="4">
        <f>D12*F12</f>
        <v/>
      </c>
      <c r="H12" s="3" t="inlineStr">
        <is>
          <t>Per Marc</t>
        </is>
      </c>
    </row>
    <row r="13">
      <c r="A13" s="3" t="inlineStr">
        <is>
          <t>FlexSeal caulk-grade sealant</t>
        </is>
      </c>
      <c r="B13" s="3" t="inlineStr">
        <is>
          <t>GAF TopCoat FlexSeal #8962920WP</t>
        </is>
      </c>
      <c r="C13" s="3" t="inlineStr">
        <is>
          <t>Top of term bar + counterflashing</t>
        </is>
      </c>
      <c r="D13" s="3" t="n">
        <v>30</v>
      </c>
      <c r="E13" s="3" t="inlineStr">
        <is>
          <t>Tube</t>
        </is>
      </c>
      <c r="F13" s="4" t="n">
        <v>14</v>
      </c>
      <c r="G13" s="4">
        <f>D13*F13</f>
        <v/>
      </c>
      <c r="H13" s="3" t="inlineStr">
        <is>
          <t>Per Marc</t>
        </is>
      </c>
    </row>
    <row r="14">
      <c r="A14" s="3" t="inlineStr">
        <is>
          <t>Seam cleaner</t>
        </is>
      </c>
      <c r="B14" s="3" t="inlineStr">
        <is>
          <t>GAF TPO seam cleaner 1 gal [7793]</t>
        </is>
      </c>
      <c r="C14" s="3" t="inlineStr">
        <is>
          <t>Job</t>
        </is>
      </c>
      <c r="D14" s="3" t="n">
        <v>2</v>
      </c>
      <c r="E14" s="3" t="inlineStr">
        <is>
          <t>Can</t>
        </is>
      </c>
      <c r="F14" s="4" t="n">
        <v>36.65</v>
      </c>
      <c r="G14" s="4">
        <f>D14*F14</f>
        <v/>
      </c>
      <c r="H14" s="3" t="inlineStr">
        <is>
          <t>HAZMAT</t>
        </is>
      </c>
    </row>
    <row r="15">
      <c r="A15" s="3" t="inlineStr">
        <is>
          <t>T-joint patches</t>
        </is>
      </c>
      <c r="B15" s="3" t="inlineStr">
        <is>
          <t>GAF TPO T-joint patch 4"x4" #7712920</t>
        </is>
      </c>
      <c r="C15" s="3" t="inlineStr">
        <is>
          <t>Field layout</t>
        </is>
      </c>
      <c r="D15" s="3" t="n">
        <v>24</v>
      </c>
      <c r="E15" s="3" t="inlineStr">
        <is>
          <t>EA</t>
        </is>
      </c>
      <c r="F15" s="4" t="n">
        <v>0.82</v>
      </c>
      <c r="G15" s="4">
        <f>D15*F15</f>
        <v/>
      </c>
      <c r="H15" s="3" t="inlineStr"/>
    </row>
    <row r="16">
      <c r="A16" s="3" t="inlineStr">
        <is>
          <t>Brushes 4"</t>
        </is>
      </c>
      <c r="B16" s="3" t="inlineStr">
        <is>
          <t>Brush 4</t>
        </is>
      </c>
      <c r="C16" s="3" t="inlineStr">
        <is>
          <t>Adhesive/primer cut-in</t>
        </is>
      </c>
      <c r="D16" s="3" t="n">
        <v>6</v>
      </c>
      <c r="E16" s="3" t="inlineStr">
        <is>
          <t>EA</t>
        </is>
      </c>
      <c r="F16" s="4" t="n">
        <v>1.47</v>
      </c>
      <c r="G16" s="4">
        <f>D16*F16</f>
        <v/>
      </c>
      <c r="H16" s="3" t="inlineStr">
        <is>
          <t>Shop price list 6/26/26</t>
        </is>
      </c>
    </row>
    <row r="17">
      <c r="A17" s="3" t="inlineStr">
        <is>
          <t>Drill bits (masonry)</t>
        </is>
      </c>
      <c r="B17" s="3" t="inlineStr">
        <is>
          <t>Drill bits</t>
        </is>
      </c>
      <c r="C17" s="3" t="inlineStr">
        <is>
          <t>For 866 masonry anchors</t>
        </is>
      </c>
      <c r="D17" s="3" t="n">
        <v>6</v>
      </c>
      <c r="E17" s="3" t="inlineStr">
        <is>
          <t>EA</t>
        </is>
      </c>
      <c r="F17" s="4" t="n">
        <v>2.64</v>
      </c>
      <c r="G17" s="4">
        <f>D17*F17</f>
        <v/>
      </c>
      <c r="H17" s="3" t="inlineStr">
        <is>
          <t>Shop price list 6/26/26</t>
        </is>
      </c>
    </row>
    <row r="18">
      <c r="A18" s="3" t="inlineStr">
        <is>
          <t>Roller frames 9" HD</t>
        </is>
      </c>
      <c r="B18" s="3" t="inlineStr">
        <is>
          <t>C&amp;R 9" heavy duty roller frame #RF9HDN1</t>
        </is>
      </c>
      <c r="C18" s="3" t="inlineStr">
        <is>
          <t>Bonding adhesive application</t>
        </is>
      </c>
      <c r="D18" s="3" t="n">
        <v>4</v>
      </c>
      <c r="E18" s="3" t="inlineStr">
        <is>
          <t>EA</t>
        </is>
      </c>
      <c r="F18" s="4" t="n">
        <v>2.7</v>
      </c>
      <c r="G18" s="4">
        <f>D18*F18</f>
        <v/>
      </c>
      <c r="H18" s="3" t="inlineStr">
        <is>
          <t>Gulfeagle inv 2/5/26</t>
        </is>
      </c>
    </row>
    <row r="19">
      <c r="A19" s="3" t="inlineStr">
        <is>
          <t>Roller covers 9" 3/4" nap</t>
        </is>
      </c>
      <c r="B19" s="3" t="inlineStr">
        <is>
          <t>C&amp;R 9" roller cover 3/4" nap #RC9-3/4</t>
        </is>
      </c>
      <c r="C19" s="3" t="inlineStr">
        <is>
          <t>Bonding adhesive application</t>
        </is>
      </c>
      <c r="D19" s="3" t="n">
        <v>12</v>
      </c>
      <c r="E19" s="3" t="inlineStr">
        <is>
          <t>EA</t>
        </is>
      </c>
      <c r="F19" s="4" t="n">
        <v>1.65</v>
      </c>
      <c r="G19" s="4">
        <f>D19*F19</f>
        <v/>
      </c>
      <c r="H19" s="3" t="inlineStr">
        <is>
          <t>Gulfeagle inv 2/5/26</t>
        </is>
      </c>
    </row>
    <row r="20">
      <c r="A20" s="3" t="inlineStr">
        <is>
          <t>Mops</t>
        </is>
      </c>
      <c r="B20" s="3" t="inlineStr">
        <is>
          <t>Mop</t>
        </is>
      </c>
      <c r="C20" s="3" t="inlineStr">
        <is>
          <t>Job</t>
        </is>
      </c>
      <c r="D20" s="3" t="n">
        <v>2</v>
      </c>
      <c r="E20" s="3" t="inlineStr">
        <is>
          <t>EA</t>
        </is>
      </c>
      <c r="F20" s="4" t="n">
        <v>7.15</v>
      </c>
      <c r="G20" s="4">
        <f>D20*F20</f>
        <v/>
      </c>
      <c r="H20" s="3" t="inlineStr">
        <is>
          <t>Shop price list 6/26/26</t>
        </is>
      </c>
    </row>
    <row r="22">
      <c r="F22" s="5" t="inlineStr">
        <is>
          <t>Material subtotal</t>
        </is>
      </c>
      <c r="G22" s="6">
        <f>SUM(G4:G20)</f>
        <v/>
      </c>
    </row>
    <row r="23">
      <c r="F23" s="5" t="inlineStr">
        <is>
          <t>Sales tax 7%</t>
        </is>
      </c>
      <c r="G23" s="6">
        <f>ROUND(G22*0.07,2)</f>
        <v/>
      </c>
    </row>
    <row r="24">
      <c r="F24" s="5" t="inlineStr">
        <is>
          <t>TOTAL MATERIAL</t>
        </is>
      </c>
      <c r="G24" s="6">
        <f>G22+G23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2026-10-20T10:02:55Z</dcterms:created>
  <dcterms:modified xmlns:dcterms="http://purl.org/dc/terms/" xmlns:xsi="http://www.w3.org/2001/XMLSchema-instance" xsi:type="dcterms:W3CDTF">2026-10-20T10:02:55Z</dcterms:modified>
</cp:coreProperties>
</file>