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PO Takeof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<sst xmlns="http://schemas.openxmlformats.org/spreadsheetml/2006/main" count="128" uniqueCount="109">
  <si>
    <t xml:space="preserve">769 NE 74th St — TPO Material Takeoff (GAF EverGuard .060, FULLY BONDED) — Rev 0, 10/20/2026</t>
  </si>
  <si>
    <t xml:space="preserve">M. Romero's Roofing &amp; Inspections, Inc. · Prices: Gulfeagle invoices 2/4, 2/5, 3/30/2026 (price book) · Fill YELLOW cells; everything else calculates.</t>
  </si>
  <si>
    <t xml:space="preserve">JOB INPUTS</t>
  </si>
  <si>
    <t xml:space="preserve">Input</t>
  </si>
  <si>
    <t xml:space="preserve">Unit</t>
  </si>
  <si>
    <t xml:space="preserve">Value</t>
  </si>
  <si>
    <t xml:space="preserve">Note</t>
  </si>
  <si>
    <t xml:space="preserve">Roof field area</t>
  </si>
  <si>
    <t xml:space="preserve">SF</t>
  </si>
  <si>
    <t xml:space="preserve">Bluebeam A-3: flat roofs 2,328.42 SF + top slab for WP 111.44 SF (Gulfeagle tapered area 23.37 SQ)</t>
  </si>
  <si>
    <t xml:space="preserve">Parapet / wall flashing</t>
  </si>
  <si>
    <t xml:space="preserve">LF</t>
  </si>
  <si>
    <t xml:space="preserve">Bluebeam A-3: parapet inside 262.45 LF</t>
  </si>
  <si>
    <t xml:space="preserve">Wall termination (term bar)</t>
  </si>
  <si>
    <t xml:space="preserve">Counterflashing / stucco stop</t>
  </si>
  <si>
    <t xml:space="preserve">0 here: A-3 calls 2-part STAINLESS reglet + counterflashing — price separately</t>
  </si>
  <si>
    <t xml:space="preserve">Perimeter edge metal (drip edge)</t>
  </si>
  <si>
    <t xml:space="preserve">None: 8x8 concrete end cap on parapet (A-3), no metal coping/edge</t>
  </si>
  <si>
    <t xml:space="preserve">Drains + scuppers</t>
  </si>
  <si>
    <t xml:space="preserve">EA</t>
  </si>
  <si>
    <t xml:space="preserve">Scuppers + emergency overflow scuppers per A-3 keynotes; 4 points on Gulfeagle drawing — VERIFY count</t>
  </si>
  <si>
    <t xml:space="preserve">Pipe penetrations</t>
  </si>
  <si>
    <t xml:space="preserve">CU stands / pipes not counted — verify (A-3 shows CU1-CU3 on metal stand)</t>
  </si>
  <si>
    <t xml:space="preserve">Seam cover tape</t>
  </si>
  <si>
    <t xml:space="preserve">Not used</t>
  </si>
  <si>
    <t xml:space="preserve">T-joint patches</t>
  </si>
  <si>
    <t xml:space="preserve">~1 per 100 SF placeholder</t>
  </si>
  <si>
    <t xml:space="preserve">Attachment</t>
  </si>
  <si>
    <t xml:space="preserve">—</t>
  </si>
  <si>
    <t xml:space="preserve">Adhered</t>
  </si>
  <si>
    <t xml:space="preserve">FULLY BONDED (Marc 10/20)</t>
  </si>
  <si>
    <t xml:space="preserve">Fasteners per SQ (mechanical only)</t>
  </si>
  <si>
    <t xml:space="preserve">EA/SQ</t>
  </si>
  <si>
    <t xml:space="preserve">n/a adhered</t>
  </si>
  <si>
    <t xml:space="preserve">Tapered ISO — supplier quote</t>
  </si>
  <si>
    <t xml:space="preserve">$</t>
  </si>
  <si>
    <t xml:space="preserve">Gulfeagle 25-1454-V3 $11,971 dated 7/16/2025, EXPIRED 7/30/2025 — requote</t>
  </si>
  <si>
    <t xml:space="preserve">Material tax</t>
  </si>
  <si>
    <t xml:space="preserve">%</t>
  </si>
  <si>
    <t xml:space="preserve">Pricing Rules</t>
  </si>
  <si>
    <t xml:space="preserve">TAKEOFF</t>
  </si>
  <si>
    <t xml:space="preserve">Item</t>
  </si>
  <si>
    <t xml:space="preserve">Product / SKU</t>
  </si>
  <si>
    <t xml:space="preserve">Net Qty</t>
  </si>
  <si>
    <t xml:space="preserve">Waste</t>
  </si>
  <si>
    <t xml:space="preserve">Order Qty</t>
  </si>
  <si>
    <t xml:space="preserve">Unit Cost</t>
  </si>
  <si>
    <t xml:space="preserve">Ext. Cost</t>
  </si>
  <si>
    <t xml:space="preserve">Basis</t>
  </si>
  <si>
    <t xml:space="preserve">Field membrane</t>
  </si>
  <si>
    <t xml:space="preserve">GAF TPO .060 white 5'x100' #7561920</t>
  </si>
  <si>
    <t xml:space="preserve">Roll</t>
  </si>
  <si>
    <t xml:space="preserve">500 SF/roll</t>
  </si>
  <si>
    <t xml:space="preserve">Bonding adhesive — field</t>
  </si>
  <si>
    <t xml:space="preserve">GAF #1121 solvent bond adh 5 gal #77800OM</t>
  </si>
  <si>
    <t xml:space="preserve">Pail</t>
  </si>
  <si>
    <t xml:space="preserve">300 SF/pail; adhered only</t>
  </si>
  <si>
    <t xml:space="preserve">Bonding adhesive — flashings</t>
  </si>
  <si>
    <t xml:space="preserve">GAF #1121 5 gal</t>
  </si>
  <si>
    <t xml:space="preserve">Wall LF x 2 ft, both sides bonded</t>
  </si>
  <si>
    <t xml:space="preserve">Detail / wall flashing</t>
  </si>
  <si>
    <t xml:space="preserve">GAF TPO UN-55 24"x50' #7624920TP</t>
  </si>
  <si>
    <t xml:space="preserve">50 LF/roll</t>
  </si>
  <si>
    <t xml:space="preserve">Seam cleaner</t>
  </si>
  <si>
    <t xml:space="preserve">GAF TPO seam cleaner 1 gal [7793]</t>
  </si>
  <si>
    <t xml:space="preserve">Can</t>
  </si>
  <si>
    <t xml:space="preserve">Per job</t>
  </si>
  <si>
    <t xml:space="preserve">GAF TPO 6"x100' cover tape #755A920</t>
  </si>
  <si>
    <t xml:space="preserve">100 LF/roll</t>
  </si>
  <si>
    <t xml:space="preserve">GAF TPO T-joint patch 4"x4" #7712920</t>
  </si>
  <si>
    <t xml:space="preserve">From layout</t>
  </si>
  <si>
    <t xml:space="preserve">Pipe boots</t>
  </si>
  <si>
    <t xml:space="preserve">GAF TPO split pipe boot 1"-2" #85G1920</t>
  </si>
  <si>
    <t xml:space="preserve">1 per penetration</t>
  </si>
  <si>
    <t xml:space="preserve">Water Block</t>
  </si>
  <si>
    <t xml:space="preserve">GAF EverGuard Water Block 10.3 oz #8008</t>
  </si>
  <si>
    <t xml:space="preserve">Tube</t>
  </si>
  <si>
    <t xml:space="preserve">~20 LF/tube + 1 per drain</t>
  </si>
  <si>
    <t xml:space="preserve">FlexSeal</t>
  </si>
  <si>
    <t xml:space="preserve">GAF TopCoat FlexSeal #8962920WP</t>
  </si>
  <si>
    <t xml:space="preserve">~12 LF/tube + 1 per 4 pens</t>
  </si>
  <si>
    <t xml:space="preserve">Termination bar</t>
  </si>
  <si>
    <t xml:space="preserve">OMG flat alum term bar 10' #FLATB06</t>
  </si>
  <si>
    <t xml:space="preserve">PC</t>
  </si>
  <si>
    <t xml:space="preserve">10 LF/pc</t>
  </si>
  <si>
    <t xml:space="preserve">Masonry anchors (term bar @ 6")</t>
  </si>
  <si>
    <t xml:space="preserve">OMG 1/4"x1-1/4" masonry anchor #MA114X</t>
  </si>
  <si>
    <t xml:space="preserve">Box</t>
  </si>
  <si>
    <t xml:space="preserve">100/box</t>
  </si>
  <si>
    <t xml:space="preserve">Counterflashing</t>
  </si>
  <si>
    <t xml:space="preserve">Stucco stop 5" 26 ga galv 10'</t>
  </si>
  <si>
    <t xml:space="preserve">Edge metal / drip edge</t>
  </si>
  <si>
    <t xml:space="preserve">3x3 galvanized 10'</t>
  </si>
  <si>
    <t xml:space="preserve">10 LF/pc — VERIFY price is per 10' pc</t>
  </si>
  <si>
    <t xml:space="preserve">Fasteners (mechanical)</t>
  </si>
  <si>
    <t xml:space="preserve">Trufast 3" #14 HD #HD-3000 (1M/bkt)</t>
  </si>
  <si>
    <t xml:space="preserve">Bucket</t>
  </si>
  <si>
    <t xml:space="preserve">Length per deck — confirm</t>
  </si>
  <si>
    <t xml:space="preserve">Plates (mechanical)</t>
  </si>
  <si>
    <t xml:space="preserve">Trufast 3" Galvalume plate #MP-3000 (1M/bkt)</t>
  </si>
  <si>
    <t xml:space="preserve">1 per fastener</t>
  </si>
  <si>
    <t xml:space="preserve">Tapered ISO insulation</t>
  </si>
  <si>
    <t xml:space="preserve">GAF EnergyGuard tapered ISO — Gulfeagle quote</t>
  </si>
  <si>
    <t xml:space="preserve">Lump</t>
  </si>
  <si>
    <t xml:space="preserve">Supplier cut list</t>
  </si>
  <si>
    <t xml:space="preserve">Material subtotal</t>
  </si>
  <si>
    <t xml:space="preserve">Sales tax</t>
  </si>
  <si>
    <t xml:space="preserve">TOTAL MATERIAL COST</t>
  </si>
  <si>
    <t xml:space="preserve">Notes: Water Block / FlexSeal rates are bead-size estimates (not GAF-published). Mechanical fastener density must come from the NOA for the deck and wind zone. Prices from Gulfeagle invoices — confirm current before ordering.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</si>
</sst>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.0"/>
    <numFmt numFmtId="167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9"/>
      <name val="Cambria"/>
      <family val="0"/>
      <charset val="1"/>
    </font>
    <font>
      <b val="true"/>
      <sz val="11"/>
      <color rgb="FF1F2A44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59D"/>
        <bgColor rgb="FFEEF1F6"/>
      </patternFill>
    </fill>
    <fill>
      <patternFill patternType="solid">
        <fgColor rgb="FFEEF1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3B5"/>
      </left>
      <right style="thin">
        <color rgb="FF9AA3B5"/>
      </right>
      <top style="thin">
        <color rgb="FF9AA3B5"/>
      </top>
      <bottom style="thin">
        <color rgb="FF9AA3B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A3B5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5" t="s">
        <v>8</v>
      </c>
      <c r="C6" s="6" t="n">
        <v>2439.86</v>
      </c>
      <c r="D6" s="7" t="s">
        <v>9</v>
      </c>
    </row>
    <row r="7" customFormat="false" ht="15" hidden="false" customHeight="false" outlineLevel="0" collapsed="false">
      <c r="A7" s="5" t="s">
        <v>10</v>
      </c>
      <c r="B7" s="5" t="s">
        <v>11</v>
      </c>
      <c r="C7" s="6" t="n">
        <v>262.45</v>
      </c>
      <c r="D7" s="7" t="s">
        <v>12</v>
      </c>
    </row>
    <row r="8" customFormat="false" ht="15" hidden="false" customHeight="false" outlineLevel="0" collapsed="false">
      <c r="A8" s="5" t="s">
        <v>13</v>
      </c>
      <c r="B8" s="5" t="s">
        <v>11</v>
      </c>
      <c r="C8" s="6" t="n">
        <v>262.45</v>
      </c>
      <c r="D8" s="7" t="e">
        <f aca="false">parapet lf; 2-part ss reglet &amp; counterflashing per a-3 (price tbd, not in price book)</f>
        <v>#VALUE!</v>
      </c>
    </row>
    <row r="9" customFormat="false" ht="15" hidden="false" customHeight="false" outlineLevel="0" collapsed="false">
      <c r="A9" s="5" t="s">
        <v>14</v>
      </c>
      <c r="B9" s="5" t="s">
        <v>11</v>
      </c>
      <c r="C9" s="6" t="n">
        <v>0</v>
      </c>
      <c r="D9" s="7" t="s">
        <v>15</v>
      </c>
    </row>
    <row r="10" customFormat="false" ht="15" hidden="false" customHeight="false" outlineLevel="0" collapsed="false">
      <c r="A10" s="5" t="s">
        <v>16</v>
      </c>
      <c r="B10" s="5" t="s">
        <v>11</v>
      </c>
      <c r="C10" s="6" t="n">
        <v>0</v>
      </c>
      <c r="D10" s="7" t="s">
        <v>17</v>
      </c>
    </row>
    <row r="11" customFormat="false" ht="15" hidden="false" customHeight="false" outlineLevel="0" collapsed="false">
      <c r="A11" s="5" t="s">
        <v>18</v>
      </c>
      <c r="B11" s="5" t="s">
        <v>19</v>
      </c>
      <c r="C11" s="6" t="n">
        <v>4</v>
      </c>
      <c r="D11" s="7" t="s">
        <v>20</v>
      </c>
    </row>
    <row r="12" customFormat="false" ht="15" hidden="false" customHeight="false" outlineLevel="0" collapsed="false">
      <c r="A12" s="5" t="s">
        <v>21</v>
      </c>
      <c r="B12" s="5" t="s">
        <v>19</v>
      </c>
      <c r="C12" s="6" t="n">
        <v>0</v>
      </c>
      <c r="D12" s="7" t="s">
        <v>22</v>
      </c>
    </row>
    <row r="13" customFormat="false" ht="15" hidden="false" customHeight="false" outlineLevel="0" collapsed="false">
      <c r="A13" s="5" t="s">
        <v>23</v>
      </c>
      <c r="B13" s="5" t="s">
        <v>11</v>
      </c>
      <c r="C13" s="6" t="n">
        <v>0</v>
      </c>
      <c r="D13" s="7" t="s">
        <v>24</v>
      </c>
    </row>
    <row r="14" customFormat="false" ht="15" hidden="false" customHeight="false" outlineLevel="0" collapsed="false">
      <c r="A14" s="5" t="s">
        <v>25</v>
      </c>
      <c r="B14" s="5" t="s">
        <v>19</v>
      </c>
      <c r="C14" s="6" t="n">
        <v>24</v>
      </c>
      <c r="D14" s="7" t="s">
        <v>26</v>
      </c>
    </row>
    <row r="15" customFormat="false" ht="15" hidden="false" customHeight="false" outlineLevel="0" collapsed="false">
      <c r="A15" s="5" t="s">
        <v>27</v>
      </c>
      <c r="B15" s="5" t="s">
        <v>28</v>
      </c>
      <c r="C15" s="8" t="s">
        <v>29</v>
      </c>
      <c r="D15" s="7" t="s">
        <v>30</v>
      </c>
    </row>
    <row r="16" customFormat="false" ht="15" hidden="false" customHeight="false" outlineLevel="0" collapsed="false">
      <c r="A16" s="5" t="s">
        <v>31</v>
      </c>
      <c r="B16" s="5" t="s">
        <v>32</v>
      </c>
      <c r="C16" s="6" t="n">
        <v>0</v>
      </c>
      <c r="D16" s="7" t="s">
        <v>33</v>
      </c>
    </row>
    <row r="17" customFormat="false" ht="15" hidden="false" customHeight="false" outlineLevel="0" collapsed="false">
      <c r="A17" s="5" t="s">
        <v>34</v>
      </c>
      <c r="B17" s="5" t="s">
        <v>35</v>
      </c>
      <c r="C17" s="6" t="n">
        <v>11971</v>
      </c>
      <c r="D17" s="7" t="s">
        <v>36</v>
      </c>
    </row>
    <row r="18" customFormat="false" ht="15" hidden="false" customHeight="false" outlineLevel="0" collapsed="false">
      <c r="A18" s="5" t="s">
        <v>37</v>
      </c>
      <c r="B18" s="5" t="s">
        <v>38</v>
      </c>
      <c r="C18" s="9" t="n">
        <v>0.07</v>
      </c>
      <c r="D18" s="7" t="s">
        <v>39</v>
      </c>
    </row>
    <row r="20" customFormat="false" ht="15" hidden="false" customHeight="false" outlineLevel="0" collapsed="false">
      <c r="A20" s="3" t="s">
        <v>40</v>
      </c>
    </row>
    <row r="21" customFormat="false" ht="15" hidden="false" customHeight="false" outlineLevel="0" collapsed="false">
      <c r="A21" s="10" t="s">
        <v>41</v>
      </c>
      <c r="B21" s="10" t="s">
        <v>42</v>
      </c>
      <c r="C21" s="10" t="s">
        <v>43</v>
      </c>
      <c r="D21" s="10" t="s">
        <v>44</v>
      </c>
      <c r="E21" s="10" t="s">
        <v>45</v>
      </c>
      <c r="F21" s="10" t="s">
        <v>4</v>
      </c>
      <c r="G21" s="10" t="s">
        <v>46</v>
      </c>
      <c r="H21" s="10" t="s">
        <v>47</v>
      </c>
      <c r="I21" s="10" t="s">
        <v>48</v>
      </c>
    </row>
    <row r="22" customFormat="false" ht="15" hidden="false" customHeight="false" outlineLevel="0" collapsed="false">
      <c r="A22" s="5" t="s">
        <v>49</v>
      </c>
      <c r="B22" s="5" t="s">
        <v>50</v>
      </c>
      <c r="C22" s="11" t="n">
        <f aca="false">$C$6</f>
        <v>2439.86</v>
      </c>
      <c r="D22" s="12" t="n">
        <v>0.1</v>
      </c>
      <c r="E22" s="5" t="n">
        <f aca="false">ROUNDUP(C22*(1+D22)/500,0)</f>
        <v>6</v>
      </c>
      <c r="F22" s="5" t="s">
        <v>51</v>
      </c>
      <c r="G22" s="13" t="n">
        <v>380</v>
      </c>
      <c r="H22" s="13" t="n">
        <f aca="false">E22*G22</f>
        <v>2280</v>
      </c>
      <c r="I22" s="5" t="s">
        <v>52</v>
      </c>
    </row>
    <row r="23" customFormat="false" ht="15" hidden="false" customHeight="false" outlineLevel="0" collapsed="false">
      <c r="A23" s="14" t="s">
        <v>53</v>
      </c>
      <c r="B23" s="14" t="s">
        <v>54</v>
      </c>
      <c r="C23" s="15" t="n">
        <f aca="false">IF($C$15="Mechanical",0,$C$6)</f>
        <v>2439.86</v>
      </c>
      <c r="D23" s="16" t="n">
        <v>0.05</v>
      </c>
      <c r="E23" s="14" t="n">
        <f aca="false">ROUNDUP(C23*(1+D23)/300,0)</f>
        <v>9</v>
      </c>
      <c r="F23" s="14" t="s">
        <v>55</v>
      </c>
      <c r="G23" s="17" t="n">
        <v>170</v>
      </c>
      <c r="H23" s="17" t="n">
        <f aca="false">E23*G23</f>
        <v>1530</v>
      </c>
      <c r="I23" s="14" t="s">
        <v>56</v>
      </c>
    </row>
    <row r="24" customFormat="false" ht="15" hidden="false" customHeight="false" outlineLevel="0" collapsed="false">
      <c r="A24" s="5" t="s">
        <v>57</v>
      </c>
      <c r="B24" s="5" t="s">
        <v>58</v>
      </c>
      <c r="C24" s="11" t="n">
        <f aca="false">$C$7*2</f>
        <v>524.9</v>
      </c>
      <c r="D24" s="12" t="n">
        <v>0.05</v>
      </c>
      <c r="E24" s="5" t="n">
        <f aca="false">ROUNDUP(C24*(1+D24)/300,0)</f>
        <v>2</v>
      </c>
      <c r="F24" s="5" t="s">
        <v>55</v>
      </c>
      <c r="G24" s="13" t="n">
        <v>170</v>
      </c>
      <c r="H24" s="13" t="n">
        <f aca="false">E24*G24</f>
        <v>340</v>
      </c>
      <c r="I24" s="5" t="s">
        <v>59</v>
      </c>
    </row>
    <row r="25" customFormat="false" ht="15" hidden="false" customHeight="false" outlineLevel="0" collapsed="false">
      <c r="A25" s="14" t="s">
        <v>60</v>
      </c>
      <c r="B25" s="14" t="s">
        <v>61</v>
      </c>
      <c r="C25" s="15" t="n">
        <f aca="false">$C$7</f>
        <v>262.45</v>
      </c>
      <c r="D25" s="16" t="n">
        <v>0.1</v>
      </c>
      <c r="E25" s="14" t="n">
        <f aca="false">ROUNDUP(C25*(1+D25)/50,0)</f>
        <v>6</v>
      </c>
      <c r="F25" s="14" t="s">
        <v>51</v>
      </c>
      <c r="G25" s="17" t="n">
        <v>360</v>
      </c>
      <c r="H25" s="17" t="n">
        <f aca="false">E25*G25</f>
        <v>2160</v>
      </c>
      <c r="I25" s="14" t="s">
        <v>62</v>
      </c>
    </row>
    <row r="26" customFormat="false" ht="15" hidden="false" customHeight="false" outlineLevel="0" collapsed="false">
      <c r="A26" s="5" t="s">
        <v>63</v>
      </c>
      <c r="B26" s="5" t="s">
        <v>64</v>
      </c>
      <c r="C26" s="11" t="n">
        <f aca="false">1</f>
        <v>1</v>
      </c>
      <c r="D26" s="12" t="n">
        <v>0</v>
      </c>
      <c r="E26" s="11" t="n">
        <f aca="false">C26</f>
        <v>1</v>
      </c>
      <c r="F26" s="5" t="s">
        <v>65</v>
      </c>
      <c r="G26" s="13" t="n">
        <v>36.65</v>
      </c>
      <c r="H26" s="13" t="n">
        <f aca="false">E26*G26</f>
        <v>36.65</v>
      </c>
      <c r="I26" s="5" t="s">
        <v>66</v>
      </c>
    </row>
    <row r="27" customFormat="false" ht="15" hidden="false" customHeight="false" outlineLevel="0" collapsed="false">
      <c r="A27" s="14" t="s">
        <v>23</v>
      </c>
      <c r="B27" s="14" t="s">
        <v>67</v>
      </c>
      <c r="C27" s="15" t="n">
        <f aca="false">$C$13</f>
        <v>0</v>
      </c>
      <c r="D27" s="16" t="n">
        <v>0.1</v>
      </c>
      <c r="E27" s="14" t="n">
        <f aca="false">ROUNDUP(C27*(1+D27)/100,0)</f>
        <v>0</v>
      </c>
      <c r="F27" s="14" t="s">
        <v>51</v>
      </c>
      <c r="G27" s="17" t="n">
        <v>290.02</v>
      </c>
      <c r="H27" s="17" t="n">
        <f aca="false">E27*G27</f>
        <v>0</v>
      </c>
      <c r="I27" s="14" t="s">
        <v>68</v>
      </c>
    </row>
    <row r="28" customFormat="false" ht="15" hidden="false" customHeight="false" outlineLevel="0" collapsed="false">
      <c r="A28" s="5" t="s">
        <v>25</v>
      </c>
      <c r="B28" s="5" t="s">
        <v>69</v>
      </c>
      <c r="C28" s="11" t="n">
        <f aca="false">$C$14</f>
        <v>24</v>
      </c>
      <c r="D28" s="12" t="n">
        <v>0</v>
      </c>
      <c r="E28" s="11" t="n">
        <f aca="false">C28</f>
        <v>24</v>
      </c>
      <c r="F28" s="5" t="s">
        <v>19</v>
      </c>
      <c r="G28" s="13" t="n">
        <v>0.82</v>
      </c>
      <c r="H28" s="13" t="n">
        <f aca="false">E28*G28</f>
        <v>19.68</v>
      </c>
      <c r="I28" s="5" t="s">
        <v>70</v>
      </c>
    </row>
    <row r="29" customFormat="false" ht="15" hidden="false" customHeight="false" outlineLevel="0" collapsed="false">
      <c r="A29" s="14" t="s">
        <v>71</v>
      </c>
      <c r="B29" s="14" t="s">
        <v>72</v>
      </c>
      <c r="C29" s="15" t="n">
        <f aca="false">$C$12</f>
        <v>0</v>
      </c>
      <c r="D29" s="16" t="n">
        <v>0</v>
      </c>
      <c r="E29" s="15" t="n">
        <f aca="false">C29</f>
        <v>0</v>
      </c>
      <c r="F29" s="14" t="s">
        <v>19</v>
      </c>
      <c r="G29" s="17" t="n">
        <v>38.51</v>
      </c>
      <c r="H29" s="17" t="n">
        <f aca="false">E29*G29</f>
        <v>0</v>
      </c>
      <c r="I29" s="14" t="s">
        <v>73</v>
      </c>
    </row>
    <row r="30" customFormat="false" ht="15" hidden="false" customHeight="false" outlineLevel="0" collapsed="false">
      <c r="A30" s="5" t="s">
        <v>74</v>
      </c>
      <c r="B30" s="5" t="s">
        <v>75</v>
      </c>
      <c r="C30" s="11" t="n">
        <f aca="false">$C$8/20+$C$11</f>
        <v>17.1225</v>
      </c>
      <c r="D30" s="12" t="n">
        <v>0.1</v>
      </c>
      <c r="E30" s="5" t="n">
        <f aca="false">ROUNDUP(C30*(1+D30),0)</f>
        <v>19</v>
      </c>
      <c r="F30" s="5" t="s">
        <v>76</v>
      </c>
      <c r="G30" s="13" t="n">
        <v>8.5</v>
      </c>
      <c r="H30" s="13" t="n">
        <f aca="false">E30*G30</f>
        <v>161.5</v>
      </c>
      <c r="I30" s="5" t="s">
        <v>77</v>
      </c>
    </row>
    <row r="31" customFormat="false" ht="15" hidden="false" customHeight="false" outlineLevel="0" collapsed="false">
      <c r="A31" s="14" t="s">
        <v>78</v>
      </c>
      <c r="B31" s="14" t="s">
        <v>79</v>
      </c>
      <c r="C31" s="15" t="n">
        <f aca="false">$C$8/12+$C$12/4</f>
        <v>21.8708333333333</v>
      </c>
      <c r="D31" s="16" t="n">
        <v>0.1</v>
      </c>
      <c r="E31" s="14" t="n">
        <f aca="false">ROUNDUP(C31*(1+D31),0)</f>
        <v>25</v>
      </c>
      <c r="F31" s="14" t="s">
        <v>76</v>
      </c>
      <c r="G31" s="17" t="n">
        <v>14</v>
      </c>
      <c r="H31" s="17" t="n">
        <f aca="false">E31*G31</f>
        <v>350</v>
      </c>
      <c r="I31" s="14" t="s">
        <v>80</v>
      </c>
    </row>
    <row r="32" customFormat="false" ht="15" hidden="false" customHeight="false" outlineLevel="0" collapsed="false">
      <c r="A32" s="5" t="s">
        <v>81</v>
      </c>
      <c r="B32" s="5" t="s">
        <v>82</v>
      </c>
      <c r="C32" s="11" t="n">
        <f aca="false">$C$8</f>
        <v>262.45</v>
      </c>
      <c r="D32" s="12" t="n">
        <v>0.1</v>
      </c>
      <c r="E32" s="5" t="n">
        <f aca="false">ROUNDUP(C32*(1+D32)/10,0)</f>
        <v>29</v>
      </c>
      <c r="F32" s="5" t="s">
        <v>83</v>
      </c>
      <c r="G32" s="13" t="n">
        <v>8</v>
      </c>
      <c r="H32" s="13" t="n">
        <f aca="false">E32*G32</f>
        <v>232</v>
      </c>
      <c r="I32" s="5" t="s">
        <v>84</v>
      </c>
    </row>
    <row r="33" customFormat="false" ht="15" hidden="false" customHeight="false" outlineLevel="0" collapsed="false">
      <c r="A33" s="14" t="s">
        <v>85</v>
      </c>
      <c r="B33" s="14" t="s">
        <v>86</v>
      </c>
      <c r="C33" s="15" t="n">
        <f aca="false">$C$8*2</f>
        <v>524.9</v>
      </c>
      <c r="D33" s="16" t="n">
        <v>0.05</v>
      </c>
      <c r="E33" s="14" t="n">
        <f aca="false">ROUNDUP(C33*(1+D33)/100,0)</f>
        <v>6</v>
      </c>
      <c r="F33" s="14" t="s">
        <v>87</v>
      </c>
      <c r="G33" s="17" t="n">
        <v>9</v>
      </c>
      <c r="H33" s="17" t="n">
        <f aca="false">E33*G33</f>
        <v>54</v>
      </c>
      <c r="I33" s="14" t="s">
        <v>88</v>
      </c>
    </row>
    <row r="34" customFormat="false" ht="15" hidden="false" customHeight="false" outlineLevel="0" collapsed="false">
      <c r="A34" s="5" t="s">
        <v>89</v>
      </c>
      <c r="B34" s="5" t="s">
        <v>90</v>
      </c>
      <c r="C34" s="11" t="n">
        <f aca="false">$C$9</f>
        <v>0</v>
      </c>
      <c r="D34" s="12" t="n">
        <v>0.1</v>
      </c>
      <c r="E34" s="5" t="n">
        <f aca="false">ROUNDUP(C34*(1+D34)/10,0)</f>
        <v>0</v>
      </c>
      <c r="F34" s="5" t="s">
        <v>83</v>
      </c>
      <c r="G34" s="13" t="n">
        <v>8.15</v>
      </c>
      <c r="H34" s="13" t="n">
        <f aca="false">E34*G34</f>
        <v>0</v>
      </c>
      <c r="I34" s="5" t="s">
        <v>84</v>
      </c>
    </row>
    <row r="35" customFormat="false" ht="15" hidden="false" customHeight="false" outlineLevel="0" collapsed="false">
      <c r="A35" s="14" t="s">
        <v>91</v>
      </c>
      <c r="B35" s="14" t="s">
        <v>92</v>
      </c>
      <c r="C35" s="15" t="n">
        <f aca="false">$C$10</f>
        <v>0</v>
      </c>
      <c r="D35" s="16" t="n">
        <v>0.1</v>
      </c>
      <c r="E35" s="14" t="n">
        <f aca="false">ROUNDUP(C35*(1+D35)/10,0)</f>
        <v>0</v>
      </c>
      <c r="F35" s="14" t="s">
        <v>83</v>
      </c>
      <c r="G35" s="17" t="n">
        <v>5.45</v>
      </c>
      <c r="H35" s="17" t="n">
        <f aca="false">E35*G35</f>
        <v>0</v>
      </c>
      <c r="I35" s="14" t="s">
        <v>93</v>
      </c>
    </row>
    <row r="36" customFormat="false" ht="15" hidden="false" customHeight="false" outlineLevel="0" collapsed="false">
      <c r="A36" s="5" t="s">
        <v>94</v>
      </c>
      <c r="B36" s="5" t="s">
        <v>95</v>
      </c>
      <c r="C36" s="11" t="n">
        <f aca="false">IF($C$15="Mechanical",$C$6/100*$C$16,0)</f>
        <v>0</v>
      </c>
      <c r="D36" s="12" t="n">
        <v>0.05</v>
      </c>
      <c r="E36" s="5" t="n">
        <f aca="false">ROUNDUP(C36*(1+D36)/1000,0)</f>
        <v>0</v>
      </c>
      <c r="F36" s="5" t="s">
        <v>96</v>
      </c>
      <c r="G36" s="13" t="n">
        <v>133</v>
      </c>
      <c r="H36" s="13" t="n">
        <f aca="false">E36*G36</f>
        <v>0</v>
      </c>
      <c r="I36" s="5" t="s">
        <v>97</v>
      </c>
    </row>
    <row r="37" customFormat="false" ht="15" hidden="false" customHeight="false" outlineLevel="0" collapsed="false">
      <c r="A37" s="14" t="s">
        <v>98</v>
      </c>
      <c r="B37" s="14" t="s">
        <v>99</v>
      </c>
      <c r="C37" s="15" t="n">
        <f aca="false">IF($C$15="Mechanical",$C$6/100*$C$16,0)</f>
        <v>0</v>
      </c>
      <c r="D37" s="16" t="n">
        <v>0.05</v>
      </c>
      <c r="E37" s="14" t="n">
        <f aca="false">ROUNDUP(C37*(1+D37)/1000,0)</f>
        <v>0</v>
      </c>
      <c r="F37" s="14" t="s">
        <v>96</v>
      </c>
      <c r="G37" s="17" t="n">
        <v>189</v>
      </c>
      <c r="H37" s="17" t="n">
        <f aca="false">E37*G37</f>
        <v>0</v>
      </c>
      <c r="I37" s="14" t="s">
        <v>100</v>
      </c>
    </row>
    <row r="38" customFormat="false" ht="15" hidden="false" customHeight="false" outlineLevel="0" collapsed="false">
      <c r="A38" s="5" t="s">
        <v>101</v>
      </c>
      <c r="B38" s="5" t="s">
        <v>102</v>
      </c>
      <c r="C38" s="11" t="n">
        <f aca="false">IF($C$17&gt;0,1,0)</f>
        <v>1</v>
      </c>
      <c r="D38" s="12" t="n">
        <v>0</v>
      </c>
      <c r="E38" s="11" t="n">
        <f aca="false">C38</f>
        <v>1</v>
      </c>
      <c r="F38" s="5" t="s">
        <v>103</v>
      </c>
      <c r="G38" s="13" t="n">
        <f aca="false">$C$17</f>
        <v>11971</v>
      </c>
      <c r="H38" s="13" t="n">
        <f aca="false">E38*G38</f>
        <v>11971</v>
      </c>
      <c r="I38" s="5" t="s">
        <v>104</v>
      </c>
    </row>
    <row r="40" customFormat="false" ht="15" hidden="false" customHeight="false" outlineLevel="0" collapsed="false">
      <c r="G40" s="3" t="s">
        <v>105</v>
      </c>
      <c r="H40" s="13" t="n">
        <f aca="false">SUM(H22:H38)</f>
        <v>19134.83</v>
      </c>
    </row>
    <row r="41" customFormat="false" ht="15" hidden="false" customHeight="false" outlineLevel="0" collapsed="false">
      <c r="G41" s="3" t="s">
        <v>106</v>
      </c>
      <c r="H41" s="13" t="n">
        <f aca="false">H40*$C$18</f>
        <v>1339.4381</v>
      </c>
    </row>
    <row r="42" customFormat="false" ht="15" hidden="false" customHeight="false" outlineLevel="0" collapsed="false">
      <c r="G42" s="18" t="s">
        <v>107</v>
      </c>
      <c r="H42" s="19" t="n">
        <f aca="false">H40+H41</f>
        <v>20474.2681</v>
      </c>
    </row>
    <row r="44" customFormat="false" ht="15" hidden="false" customHeight="false" outlineLevel="0" collapsed="false">
      <c r="A44" s="2" t="s">
        <v>108</v>
      </c>
    </row>
  </sheetData>
  <dataValidations count="1">
    <dataValidation allowBlank="false" errorStyle="stop" operator="between" showDropDown="false" showErrorMessage="false" showInputMessage="false" sqref="C15" type="list">
      <formula1>"Adhered,Mechanical"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2026-10-20T07:35:53Z</dcterms:created>
  <dc:creator>openpyxl</dc:creator>
  <dc:description/>
  <dc:language>en-US</dc:language>
  <cp:lastModifiedBy/>
  <dcterms:modified xsi:type="dcterms:W3CDTF">2026-10-20T07:40:49Z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